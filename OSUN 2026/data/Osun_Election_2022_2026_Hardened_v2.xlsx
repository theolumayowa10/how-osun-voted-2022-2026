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6fec77bf9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a7468fdc0f4683"/>
    <x:sheet xmlns:r="http://schemas.openxmlformats.org/officeDocument/2006/relationships" name="Master_Comparison" sheetId="2" r:id="R07ed69052ce948da"/>
    <x:sheet xmlns:r="http://schemas.openxmlformats.org/officeDocument/2006/relationships" name="Results_2022" sheetId="3" r:id="R63308659ed86441b"/>
    <x:sheet xmlns:r="http://schemas.openxmlformats.org/officeDocument/2006/relationships" name="Results_2026" sheetId="4" r:id="R8bead7c8e0b0472f"/>
    <x:sheet xmlns:r="http://schemas.openxmlformats.org/officeDocument/2006/relationships" name="QA_Sources" sheetId="5" r:id="R285e2ad80b9e400e"/>
    <x:sheet xmlns:r="http://schemas.openxmlformats.org/officeDocument/2006/relationships" name="Summary" sheetId="6" r:id="Rfabd9a014ae447e8"/>
    <x:sheet xmlns:r="http://schemas.openxmlformats.org/officeDocument/2006/relationships" name="Verified_Core" sheetId="7" r:id="R2b66b745262d4c25"/>
    <x:sheet xmlns:r="http://schemas.openxmlformats.org/officeDocument/2006/relationships" name="Source_Audit" sheetId="8" r:id="Rf58432d503dc4b1c"/>
    <x:sheet xmlns:r="http://schemas.openxmlformats.org/officeDocument/2006/relationships" name="Data_Dictionary" sheetId="9" r:id="R087623ae4b5e4559"/>
    <x:sheet xmlns:r="http://schemas.openxmlformats.org/officeDocument/2006/relationships" name="Publication_Readiness" sheetId="10" r:id="R2ffcada4d01a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334E68"/>
      <x:name val="Carlito"/>
    </x:font>
    <x:font>
      <x:b/>
      <x:sz val="11"/>
      <x:color rgb="FF102A43"/>
      <x:name val="Carlito"/>
    </x:font>
    <x:font>
      <x:b/>
      <x:sz val="15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63A63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163A63"/>
      </x:patternFill>
    </x:fill>
    <x:fill>
      <x:patternFill patternType="solid">
        <x:fgColor rgb="FFF4F7FA"/>
      </x:patternFill>
    </x:fill>
    <x:fill>
      <x:patternFill patternType="solid">
        <x:fgColor rgb="FF0B1F3A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67cfe8f9a40d6" /><Relationship Type="http://schemas.openxmlformats.org/officeDocument/2006/relationships/theme" Target="/xl/theme/theme1.xml" Id="R8bba9d53939e427c" /><Relationship Type="http://schemas.openxmlformats.org/officeDocument/2006/relationships/sharedStrings" Target="/xl/sharedStrings.xml" Id="R6c90eebaa12744ff" /><Relationship Type="http://schemas.openxmlformats.org/officeDocument/2006/relationships/worksheet" Target="/xl/worksheets/sheet1.xml" Id="R68a7468fdc0f4683" /><Relationship Type="http://schemas.openxmlformats.org/officeDocument/2006/relationships/worksheet" Target="/xl/worksheets/sheet2.xml" Id="R07ed69052ce948da" /><Relationship Type="http://schemas.openxmlformats.org/officeDocument/2006/relationships/worksheet" Target="/xl/worksheets/sheet3.xml" Id="R63308659ed86441b" /><Relationship Type="http://schemas.openxmlformats.org/officeDocument/2006/relationships/worksheet" Target="/xl/worksheets/sheet4.xml" Id="R8bead7c8e0b0472f" /><Relationship Type="http://schemas.openxmlformats.org/officeDocument/2006/relationships/worksheet" Target="/xl/worksheets/sheet5.xml" Id="R285e2ad80b9e400e" /><Relationship Type="http://schemas.openxmlformats.org/officeDocument/2006/relationships/worksheet" Target="/xl/worksheets/sheet6.xml" Id="Rfabd9a014ae447e8" /><Relationship Type="http://schemas.openxmlformats.org/officeDocument/2006/relationships/worksheet" Target="/xl/worksheets/sheet7.xml" Id="R2b66b745262d4c25" /><Relationship Type="http://schemas.openxmlformats.org/officeDocument/2006/relationships/worksheet" Target="/xl/worksheets/sheet8.xml" Id="Rf58432d503dc4b1c" /><Relationship Type="http://schemas.openxmlformats.org/officeDocument/2006/relationships/worksheet" Target="/xl/worksheets/sheet9.xml" Id="R087623ae4b5e4559" /><Relationship Type="http://schemas.openxmlformats.org/officeDocument/2006/relationships/worksheet" Target="/xl/worksheets/sheet10.xml" Id="R2ffcada4d01a4d4e" /></Relationships>
</file>

<file path=xl/tables/table1.xml><?xml version="1.0" encoding="utf-8"?>
<x:table xmlns:x="http://schemas.openxmlformats.org/spreadsheetml/2006/main" id="3" name="MasterComparisonTable" displayName="MasterComparisonTable" ref="A1:AC31" headerRowCount="1" totalsRowCount="0" totalsRowShown="0">
  <x:tableColumns count="29">
    <x:tableColumn id="1" name="LGA"/>
    <x:tableColumn id="2" name="2022 Adeleke Votes"/>
    <x:tableColumn id="3" name="2022 APC Votes"/>
    <x:tableColumn id="4" name="2022 Other Votes"/>
    <x:tableColumn id="5" name="2022 Valid Votes"/>
    <x:tableColumn id="6" name="2022 Turnout %"/>
    <x:tableColumn id="7" name="2022 Adeleke Share"/>
    <x:tableColumn id="8" name="2022 APC Share"/>
    <x:tableColumn id="9" name="2022 Winner"/>
    <x:tableColumn id="10" name="2022 Winning Margin"/>
    <x:tableColumn id="11" name="2026 Adeleke Votes"/>
    <x:tableColumn id="12" name="2026 APC Votes"/>
    <x:tableColumn id="13" name="2026 ADC Votes"/>
    <x:tableColumn id="14" name="2026 Other Votes"/>
    <x:tableColumn id="15" name="2026 Valid Votes"/>
    <x:tableColumn id="16" name="2026 Accredited"/>
    <x:tableColumn id="17" name="2026 Votes Cast"/>
    <x:tableColumn id="18" name="2026 Rejected Votes"/>
    <x:tableColumn id="19" name="2026 Adeleke Share"/>
    <x:tableColumn id="20" name="2026 APC Share"/>
    <x:tableColumn id="21" name="2026 Winner"/>
    <x:tableColumn id="22" name="2026 Winning Margin"/>
    <x:tableColumn id="23" name="Adeleke Vote Change"/>
    <x:tableColumn id="24" name="APC Vote Change"/>
    <x:tableColumn id="25" name="Adeleke Share Change (pp)"/>
    <x:tableColumn id="26" name="APC Share Change (pp)"/>
    <x:tableColumn id="27" name="LGA Flipped?"/>
    <x:tableColumn id="28" name="2026 Margin %"/>
    <x:tableColumn id="29" name="Data Qualit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Results2022Table" displayName="Results2022Table" ref="A1:H31" headerRowCount="1" totalsRowCount="0" totalsRowShown="0">
  <x:tableColumns count="8">
    <x:tableColumn id="1" name="LGA"/>
    <x:tableColumn id="2" name="APC — Oyetola"/>
    <x:tableColumn id="3" name="PDP — Adeleke"/>
    <x:tableColumn id="4" name="Other Votes"/>
    <x:tableColumn id="5" name="Total Valid Votes"/>
    <x:tableColumn id="6" name="Turnout %"/>
    <x:tableColumn id="7" name="Data Note"/>
    <x:tableColumn id="8" name="Primary/Verification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sults2026Table" displayName="Results2026Table" ref="A1:J31" headerRowCount="1" totalsRowCount="0" totalsRowShown="0">
  <x:tableColumns count="10">
    <x:tableColumn id="1" name="LGA"/>
    <x:tableColumn id="2" name="Accord — Adeleke"/>
    <x:tableColumn id="3" name="APC — Oyebamiji"/>
    <x:tableColumn id="4" name="ADC — Salaam"/>
    <x:tableColumn id="5" name="Accredited Voters"/>
    <x:tableColumn id="6" name="Total Valid Votes"/>
    <x:tableColumn id="7" name="Total Votes Cast"/>
    <x:tableColumn id="8" name="Data Note"/>
    <x:tableColumn id="9" name="Candidate Source"/>
    <x:tableColumn id="10" name="Participation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47223af0ab46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e88420f522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a2f278480c47b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9.200000762939453" hidden="0" customHeight="1">
      <x:c r="A1" s="20" t="str">
        <x:v>OSUN DECIDES 2026 — Anatomy of the Vote</x:v>
      </x:c>
      <x:c r="B1" s="20"/>
      <x:c r="C1" s="20"/>
      <x:c r="D1" s="20"/>
      <x:c r="E1" s="20"/>
      <x:c r="F1" s="20"/>
      <x:c r="G1" s="20"/>
      <x:c r="H1" s="20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52.79999923706055" hidden="0" customHeight="1">
      <x:c r="A3" s="22" t="str">
        <x:v>Project</x:v>
      </x:c>
      <x:c r="B3" s="16" t="str">
        <x:v>Comparative LGA analysis of the 2022 and 2026 Osun governorship elections</x:v>
      </x:c>
      <x:c r="C3" s="21"/>
      <x:c r="D3" s="21"/>
      <x:c r="E3" s="21"/>
      <x:c r="F3" s="21"/>
      <x:c r="G3" s="21"/>
      <x:c r="H3" s="21"/>
    </x:row>
    <x:row r="4" ht="26.399999618530273" hidden="0" customHeight="1">
      <x:c r="A4" s="22" t="str">
        <x:v>Unit of analysis</x:v>
      </x:c>
      <x:c r="B4" s="16" t="str">
        <x:v>30 Local Government Areas</x:v>
      </x:c>
      <x:c r="C4" s="21"/>
      <x:c r="D4" s="21"/>
      <x:c r="E4" s="21"/>
      <x:c r="F4" s="21"/>
      <x:c r="G4" s="21"/>
      <x:c r="H4" s="21"/>
    </x:row>
    <x:row r="5" ht="26.399999618530273" hidden="0" customHeight="1">
      <x:c r="A5" s="22" t="str">
        <x:v>2022 focus</x:v>
      </x:c>
      <x:c r="B5" s="16" t="str">
        <x:v>Ademola Adeleke (PDP) vs Gboyega Oyetola (APC)</x:v>
      </x:c>
      <x:c r="C5" s="21"/>
      <x:c r="D5" s="21"/>
      <x:c r="E5" s="21"/>
      <x:c r="F5" s="21"/>
      <x:c r="G5" s="21"/>
      <x:c r="H5" s="21"/>
    </x:row>
    <x:row r="6" ht="52.79999923706055" hidden="0" customHeight="1">
      <x:c r="A6" s="22" t="str">
        <x:v>2026 focus</x:v>
      </x:c>
      <x:c r="B6" s="16" t="str">
        <x:v>Ademola Adeleke (Accord) vs Bola Oyebamiji (APC), with ADC tracked separately</x:v>
      </x:c>
      <x:c r="C6" s="21"/>
      <x:c r="D6" s="21"/>
      <x:c r="E6" s="21"/>
      <x:c r="F6" s="21"/>
      <x:c r="G6" s="21"/>
      <x:c r="H6" s="21"/>
    </x:row>
    <x:row r="7" ht="39.599998474121094" hidden="0" customHeight="1">
      <x:c r="A7" s="22" t="str">
        <x:v>Core question</x:v>
      </x:c>
      <x:c r="B7" s="16" t="str">
        <x:v>How did Osun's electoral geography change between 2022 and 2026?</x:v>
      </x:c>
      <x:c r="C7" s="21"/>
      <x:c r="D7" s="21"/>
      <x:c r="E7" s="21"/>
      <x:c r="F7" s="21"/>
      <x:c r="G7" s="21"/>
      <x:c r="H7" s="21"/>
    </x:row>
    <x:row r="8" ht="145.1999969482422" hidden="0" customHeight="1">
      <x:c r="A8" s="22" t="str">
        <x:v>Current status</x:v>
      </x:c>
      <x:c r="B8" s="16" t="str">
        <x:v>Candidate-level results are cross-validated and statewide-reconciled. 2026 participation totals now reconcile after documented Orolu and Isokan corrections. Primary result-sheet auditing remains open where source conflicts are noted.</x:v>
      </x:c>
      <x:c r="C8" s="21"/>
      <x:c r="D8" s="21"/>
      <x:c r="E8" s="21"/>
      <x:c r="F8" s="21"/>
      <x:c r="G8" s="21"/>
      <x:c r="H8" s="21"/>
    </x:row>
    <x:row r="9" ht="52.79999923706055" hidden="0" customHeight="1">
      <x:c r="A9" s="22" t="str">
        <x:v>Method</x:v>
      </x:c>
      <x:c r="B9" s="16" t="str">
        <x:v>Cross-check LGA figures against statewide totals; preserve correction notes and source URLs.</x:v>
      </x:c>
      <x:c r="C9" s="21"/>
      <x:c r="D9" s="21"/>
      <x:c r="E9" s="21"/>
      <x:c r="F9" s="21"/>
      <x:c r="G9" s="21"/>
      <x:c r="H9" s="21"/>
    </x:row>
    <x:row r="10" ht="15" hidden="0" customHeight="1">
      <x:c r="A10" s="21"/>
      <x:c r="B10" s="21"/>
      <x:c r="C10" s="21"/>
      <x:c r="D10" s="21"/>
      <x:c r="E10" s="21"/>
      <x:c r="F10" s="21"/>
      <x:c r="G10" s="21"/>
      <x:c r="H10" s="21"/>
    </x:row>
    <x:row r="11" ht="15" hidden="0" customHeight="1">
      <x:c r="A11" s="22" t="str">
        <x:v>Important analytical rule</x:v>
      </x:c>
      <x:c r="B11" s="22"/>
      <x:c r="C11" s="22"/>
      <x:c r="D11" s="22"/>
      <x:c r="E11" s="22"/>
      <x:c r="F11" s="22"/>
      <x:c r="G11" s="22"/>
      <x:c r="H11" s="22"/>
    </x:row>
    <x:row r="12">
      <x:c r="A12" s="16" t="str">
        <x:v>Do not describe the 2022→2026 Adeleke comparison as a pure party swing. Adeleke contested under PDP in 2022 and Accord in 2026. Distinguish candidate-support change from APC party-performance change.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  <x:row r="15" ht="15" hidden="0" customHeight="1">
      <x:c r="A15" s="21"/>
      <x:c r="B15" s="21"/>
      <x:c r="C15" s="21"/>
      <x:c r="D15" s="21"/>
      <x:c r="E15" s="21"/>
      <x:c r="F15" s="21"/>
      <x:c r="G15" s="21"/>
      <x:c r="H15" s="21"/>
    </x:row>
    <x:row r="16" ht="15" hidden="0" customHeight="1">
      <x:c r="A16" s="42" t="str">
        <x:v>Publication standard</x:v>
      </x:c>
      <x:c r="B16" s="42"/>
      <x:c r="C16" s="42"/>
      <x:c r="D16" s="42"/>
      <x:c r="E16" s="42"/>
      <x:c r="F16" s="42"/>
      <x:c r="G16" s="42"/>
      <x:c r="H16" s="42"/>
    </x:row>
    <x:row r="17" ht="15" hidden="0" customHeight="1">
      <x:c r="A17" s="44" t="str">
        <x:v>Use Verified_Core as the analytical input. Never delete disagreement records. A correction is accepted only when it is supported by a stronger source, internal arithmetic, and/or statewide reconciliation. 'Cross-validated' does not mean an original INEC EC8C scan has been manually audited; unresolved primary-sheet checks remain listed in Source_Audit.</x:v>
      </x:c>
      <x:c r="B17" s="44"/>
      <x:c r="C17" s="44"/>
      <x:c r="D17" s="44"/>
      <x:c r="E17" s="44"/>
      <x:c r="F17" s="44"/>
      <x:c r="G17" s="44"/>
      <x:c r="H17" s="44"/>
    </x:row>
    <x:row r="18" ht="15" hidden="0" customHeight="1">
      <x:c r="A18" s="44"/>
      <x:c r="B18" s="44"/>
      <x:c r="C18" s="44"/>
      <x:c r="D18" s="44"/>
      <x:c r="E18" s="44"/>
      <x:c r="F18" s="44"/>
      <x:c r="G18" s="44"/>
      <x:c r="H18" s="44"/>
    </x:row>
    <x:row r="19" ht="15" hidden="0" customHeight="1">
      <x:c r="A19" s="44"/>
      <x:c r="B19" s="44"/>
      <x:c r="C19" s="44"/>
      <x:c r="D19" s="44"/>
      <x:c r="E19" s="44"/>
      <x:c r="F19" s="44"/>
      <x:c r="G19" s="44"/>
      <x:c r="H19" s="44"/>
    </x:row>
    <x:row r="20" ht="15" hidden="0" customHeight="1">
      <x:c r="A20" s="44"/>
      <x:c r="B20" s="44"/>
      <x:c r="C20" s="44"/>
      <x:c r="D20" s="44"/>
      <x:c r="E20" s="44"/>
      <x:c r="F20" s="44"/>
      <x:c r="G20" s="44"/>
      <x:c r="H20" s="44"/>
    </x:row>
  </x:sheetData>
  <x:mergeCells>
    <x:mergeCell ref="A1:H1"/>
    <x:mergeCell ref="A11:H11"/>
    <x:mergeCell ref="A12:H14"/>
    <x:mergeCell ref="A16:H16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48" hidden="0" customWidth="1"/>
  </x:cols>
  <x:sheetData>
    <x:row r="1">
      <x:c r="A1" s="29" t="str">
        <x:v>LGA</x:v>
      </x:c>
      <x:c r="B1" s="29" t="str">
        <x:v>2022 Adeleke Votes</x:v>
      </x:c>
      <x:c r="C1" s="29" t="str">
        <x:v>2022 APC Votes</x:v>
      </x:c>
      <x:c r="D1" s="29" t="str">
        <x:v>2022 Other Votes</x:v>
      </x:c>
      <x:c r="E1" s="29" t="str">
        <x:v>2022 Valid Votes</x:v>
      </x:c>
      <x:c r="F1" s="29" t="str">
        <x:v>2022 Turnout %</x:v>
      </x:c>
      <x:c r="G1" s="29" t="str">
        <x:v>2022 Adeleke Share</x:v>
      </x:c>
      <x:c r="H1" s="29" t="str">
        <x:v>2022 APC Share</x:v>
      </x:c>
      <x:c r="I1" s="29" t="str">
        <x:v>2022 Winner</x:v>
      </x:c>
      <x:c r="J1" s="29" t="str">
        <x:v>2022 Winning Margin</x:v>
      </x:c>
      <x:c r="K1" s="29" t="str">
        <x:v>2026 Adeleke Votes</x:v>
      </x:c>
      <x:c r="L1" s="29" t="str">
        <x:v>2026 APC Votes</x:v>
      </x:c>
      <x:c r="M1" s="29" t="str">
        <x:v>2026 ADC Votes</x:v>
      </x:c>
      <x:c r="N1" s="29" t="str">
        <x:v>2026 Other Votes</x:v>
      </x:c>
      <x:c r="O1" s="29" t="str">
        <x:v>2026 Valid Votes</x:v>
      </x:c>
      <x:c r="P1" s="29" t="str">
        <x:v>2026 Accredited</x:v>
      </x:c>
      <x:c r="Q1" s="29" t="str">
        <x:v>2026 Votes Cast</x:v>
      </x:c>
      <x:c r="R1" s="29" t="str">
        <x:v>2026 Rejected Votes</x:v>
      </x:c>
      <x:c r="S1" s="29" t="str">
        <x:v>2026 Adeleke Share</x:v>
      </x:c>
      <x:c r="T1" s="29" t="str">
        <x:v>2026 APC Share</x:v>
      </x:c>
      <x:c r="U1" s="29" t="str">
        <x:v>2026 Winner</x:v>
      </x:c>
      <x:c r="V1" s="29" t="str">
        <x:v>2026 Winning Margin</x:v>
      </x:c>
      <x:c r="W1" s="29" t="str">
        <x:v>Adeleke Vote Change</x:v>
      </x:c>
      <x:c r="X1" s="29" t="str">
        <x:v>APC Vote Change</x:v>
      </x:c>
      <x:c r="Y1" s="29" t="str">
        <x:v>Adeleke Share Change (pp)</x:v>
      </x:c>
      <x:c r="Z1" s="29" t="str">
        <x:v>APC Share Change (pp)</x:v>
      </x:c>
      <x:c r="AA1" s="29" t="str">
        <x:v>LGA Flipped?</x:v>
      </x:c>
      <x:c r="AB1" s="29" t="str">
        <x:v>2026 Margin %</x:v>
      </x:c>
      <x:c r="AC1" s="29" t="str">
        <x:v>Data Quality Note</x:v>
      </x:c>
    </x:row>
    <x:row r="2">
      <x:c r="A2" t="str">
        <x:v>Aiyedaade</x:v>
      </x:c>
      <x:c r="B2" s="34" t="n">
        <x:v>13380</x:v>
      </x:c>
      <x:c r="C2" s="34" t="n">
        <x:v>14527</x:v>
      </x:c>
      <x:c r="D2" s="34" t="n">
        <x:v>1081</x:v>
      </x:c>
      <x:c r="E2" s="34" t="n">
        <x:v>28988</x:v>
      </x:c>
      <x:c r="F2" s="36" t="n">
        <x:v>0.4387</x:v>
      </x:c>
      <x:c r="G2" s="36" t="n">
        <x:f>B2/E2</x:f>
        <x:v>0.461570304953774</x:v>
      </x:c>
      <x:c r="H2" s="36" t="n">
        <x:f>C2/E2</x:f>
        <x:v>0.5011384020974197</x:v>
      </x:c>
      <x:c r="I2" t="str">
        <x:f>IF(B2&gt;C2,"Adeleke","APC")</x:f>
        <x:v>APC</x:v>
      </x:c>
      <x:c r="J2" s="34" t="n">
        <x:f>ABS(B2-C2)</x:f>
        <x:v>1147</x:v>
      </x:c>
      <x:c r="K2" s="34" t="n">
        <x:v>16681</x:v>
      </x:c>
      <x:c r="L2" s="34" t="n">
        <x:v>15719</x:v>
      </x:c>
      <x:c r="M2" s="34" t="n">
        <x:v>331</x:v>
      </x:c>
      <x:c r="N2" s="34" t="n">
        <x:f>O2-K2-L2-M2</x:f>
        <x:v>449</x:v>
      </x:c>
      <x:c r="O2" s="34" t="n">
        <x:v>33180</x:v>
      </x:c>
      <x:c r="P2" s="34" t="n">
        <x:v>34232</x:v>
      </x:c>
      <x:c r="Q2" s="34" t="n">
        <x:v>33801</x:v>
      </x:c>
      <x:c r="R2" s="34" t="n">
        <x:f>Q2-O2</x:f>
        <x:v>621</x:v>
      </x:c>
      <x:c r="S2" s="36" t="n">
        <x:f>K2/O2</x:f>
        <x:v>0.5027426160337553</x:v>
      </x:c>
      <x:c r="T2" s="36" t="n">
        <x:f>L2/O2</x:f>
        <x:v>0.47374924653405664</x:v>
      </x:c>
      <x:c r="U2" t="str">
        <x:f>IF(K2&gt;L2,"Adeleke","APC")</x:f>
        <x:v>Adeleke</x:v>
      </x:c>
      <x:c r="V2" s="34" t="n">
        <x:f>ABS(K2-L2)</x:f>
        <x:v>962</x:v>
      </x:c>
      <x:c r="W2" s="34" t="n">
        <x:f>K2-B2</x:f>
        <x:v>3301</x:v>
      </x:c>
      <x:c r="X2" s="34" t="n">
        <x:f>L2-C2</x:f>
        <x:v>1192</x:v>
      </x:c>
      <x:c r="Y2" s="38" t="n">
        <x:f>(S2-G2)*100</x:f>
        <x:v>4.117231107998126</x:v>
      </x:c>
      <x:c r="Z2" s="38" t="n">
        <x:f>(T2-H2)*100</x:f>
        <x:v>-2.738915556336302</x:v>
      </x:c>
      <x:c r="AA2" t="str">
        <x:f>IF(I2=U2,"No","Yes")</x:f>
        <x:v>Yes</x:v>
      </x:c>
      <x:c r="AB2" s="36" t="n">
        <x:f>V2/O2</x:f>
        <x:v>0.028993369499698614</x:v>
      </x:c>
      <x:c r="AC2" s="21" t="str"/>
    </x:row>
    <x:row r="3">
      <x:c r="A3" t="str">
        <x:v>Aiyedire</x:v>
      </x:c>
      <x:c r="B3" s="34" t="n">
        <x:v>7402</x:v>
      </x:c>
      <x:c r="C3" s="34" t="n">
        <x:v>7868</x:v>
      </x:c>
      <x:c r="D3" s="34" t="n">
        <x:v>1744</x:v>
      </x:c>
      <x:c r="E3" s="34" t="n">
        <x:v>17014</x:v>
      </x:c>
      <x:c r="F3" s="36" t="n">
        <x:v>0.4655</x:v>
      </x:c>
      <x:c r="G3" s="36" t="n">
        <x:f>B3/E3</x:f>
        <x:v>0.43505348536499355</x:v>
      </x:c>
      <x:c r="H3" s="36" t="n">
        <x:f>C3/E3</x:f>
        <x:v>0.46244269425179263</x:v>
      </x:c>
      <x:c r="I3" t="str">
        <x:f>IF(B3&gt;C3,"Adeleke","APC")</x:f>
        <x:v>APC</x:v>
      </x:c>
      <x:c r="J3" s="34" t="n">
        <x:f>ABS(B3-C3)</x:f>
        <x:v>466</x:v>
      </x:c>
      <x:c r="K3" s="34" t="n">
        <x:v>11073</x:v>
      </x:c>
      <x:c r="L3" s="34" t="n">
        <x:v>9910</x:v>
      </x:c>
      <x:c r="M3" s="34" t="n">
        <x:v>148</x:v>
      </x:c>
      <x:c r="N3" s="34" t="n">
        <x:f>O3-K3-L3-M3</x:f>
        <x:v>97</x:v>
      </x:c>
      <x:c r="O3" s="34" t="n">
        <x:v>21228</x:v>
      </x:c>
      <x:c r="P3" s="34" t="n">
        <x:v>21419</x:v>
      </x:c>
      <x:c r="Q3" s="34" t="n">
        <x:v>21414</x:v>
      </x:c>
      <x:c r="R3" s="34" t="n">
        <x:f>Q3-O3</x:f>
        <x:v>186</x:v>
      </x:c>
      <x:c r="S3" s="36" t="n">
        <x:f>K3/O3</x:f>
        <x:v>0.5216223855285472</x:v>
      </x:c>
      <x:c r="T3" s="36" t="n">
        <x:f>L3/O3</x:f>
        <x:v>0.46683625400414547</x:v>
      </x:c>
      <x:c r="U3" t="str">
        <x:f>IF(K3&gt;L3,"Adeleke","APC")</x:f>
        <x:v>Adeleke</x:v>
      </x:c>
      <x:c r="V3" s="34" t="n">
        <x:f>ABS(K3-L3)</x:f>
        <x:v>1163</x:v>
      </x:c>
      <x:c r="W3" s="34" t="n">
        <x:f>K3-B3</x:f>
        <x:v>3671</x:v>
      </x:c>
      <x:c r="X3" s="34" t="n">
        <x:f>L3-C3</x:f>
        <x:v>2042</x:v>
      </x:c>
      <x:c r="Y3" s="38" t="n">
        <x:f>(S3-G3)*100</x:f>
        <x:v>8.656890016355367</x:v>
      </x:c>
      <x:c r="Z3" s="38" t="n">
        <x:f>(T3-H3)*100</x:f>
        <x:v>0.4393559752352838</x:v>
      </x:c>
      <x:c r="AA3" t="str">
        <x:f>IF(I3=U3,"No","Yes")</x:f>
        <x:v>Yes</x:v>
      </x:c>
      <x:c r="AB3" s="36" t="n">
        <x:f>V3/O3</x:f>
        <x:v>0.05478613152440173</x:v>
      </x:c>
      <x:c r="AC3" s="21" t="str"/>
    </x:row>
    <x:row r="4">
      <x:c r="A4" t="str">
        <x:v>Atakunmosa East</x:v>
      </x:c>
      <x:c r="B4" s="34" t="n">
        <x:v>6992</x:v>
      </x:c>
      <x:c r="C4" s="34" t="n">
        <x:v>7449</x:v>
      </x:c>
      <x:c r="D4" s="34" t="n">
        <x:v>434</x:v>
      </x:c>
      <x:c r="E4" s="34" t="n">
        <x:v>14875</x:v>
      </x:c>
      <x:c r="F4" s="36" t="n">
        <x:v>0.3703</x:v>
      </x:c>
      <x:c r="G4" s="36" t="n">
        <x:f>B4/E4</x:f>
        <x:v>0.47005042016806725</x:v>
      </x:c>
      <x:c r="H4" s="36" t="n">
        <x:f>C4/E4</x:f>
        <x:v>0.5007731092436974</x:v>
      </x:c>
      <x:c r="I4" t="str">
        <x:f>IF(B4&gt;C4,"Adeleke","APC")</x:f>
        <x:v>APC</x:v>
      </x:c>
      <x:c r="J4" s="34" t="n">
        <x:f>ABS(B4-C4)</x:f>
        <x:v>457</x:v>
      </x:c>
      <x:c r="K4" s="34" t="n">
        <x:v>7872</x:v>
      </x:c>
      <x:c r="L4" s="34" t="n">
        <x:v>9936</x:v>
      </x:c>
      <x:c r="M4" s="34" t="n">
        <x:v>333</x:v>
      </x:c>
      <x:c r="N4" s="34" t="n">
        <x:f>O4-K4-L4-M4</x:f>
        <x:v>301</x:v>
      </x:c>
      <x:c r="O4" s="34" t="n">
        <x:v>18442</x:v>
      </x:c>
      <x:c r="P4" s="34" t="n">
        <x:v>19253</x:v>
      </x:c>
      <x:c r="Q4" s="34" t="n">
        <x:v>18823</x:v>
      </x:c>
      <x:c r="R4" s="34" t="n">
        <x:f>Q4-O4</x:f>
        <x:v>381</x:v>
      </x:c>
      <x:c r="S4" s="36" t="n">
        <x:f>K4/O4</x:f>
        <x:v>0.42685175143693743</x:v>
      </x:c>
      <x:c r="T4" s="36" t="n">
        <x:f>L4/O4</x:f>
        <x:v>0.5387701984600368</x:v>
      </x:c>
      <x:c r="U4" t="str">
        <x:f>IF(K4&gt;L4,"Adeleke","APC")</x:f>
        <x:v>APC</x:v>
      </x:c>
      <x:c r="V4" s="34" t="n">
        <x:f>ABS(K4-L4)</x:f>
        <x:v>2064</x:v>
      </x:c>
      <x:c r="W4" s="34" t="n">
        <x:f>K4-B4</x:f>
        <x:v>880</x:v>
      </x:c>
      <x:c r="X4" s="34" t="n">
        <x:f>L4-C4</x:f>
        <x:v>2487</x:v>
      </x:c>
      <x:c r="Y4" s="38" t="n">
        <x:f>(S4-G4)*100</x:f>
        <x:v>-4.319866873112982</x:v>
      </x:c>
      <x:c r="Z4" s="38" t="n">
        <x:f>(T4-H4)*100</x:f>
        <x:v>3.7997089216339375</x:v>
      </x:c>
      <x:c r="AA4" t="str">
        <x:f>IF(I4=U4,"No","Yes")</x:f>
        <x:v>No</x:v>
      </x:c>
      <x:c r="AB4" s="36" t="n">
        <x:f>V4/O4</x:f>
        <x:v>0.11191844702309944</x:v>
      </x:c>
      <x:c r="AC4" s="21" t="str">
        <x:v>2026 Atakunmosa East accredited-voter conflict: 19,253 (Punch) vs 19,257 (Channels). Retained 19,253 provisionally; primary collation-sheet verification remains open.</x:v>
      </x:c>
    </x:row>
    <x:row r="5">
      <x:c r="A5" t="str">
        <x:v>Atakunmosa West</x:v>
      </x:c>
      <x:c r="B5" s="34" t="n">
        <x:v>7750</x:v>
      </x:c>
      <x:c r="C5" s="34" t="n">
        <x:v>6601</x:v>
      </x:c>
      <x:c r="D5" s="34" t="n">
        <x:v>443</x:v>
      </x:c>
      <x:c r="E5" s="34" t="n">
        <x:v>14794</x:v>
      </x:c>
      <x:c r="F5" s="36" t="n">
        <x:v>0.4153</x:v>
      </x:c>
      <x:c r="G5" s="36" t="n">
        <x:f>B5/E5</x:f>
        <x:v>0.5238610247397594</x:v>
      </x:c>
      <x:c r="H5" s="36" t="n">
        <x:f>C5/E5</x:f>
        <x:v>0.4461944031364066</x:v>
      </x:c>
      <x:c r="I5" t="str">
        <x:f>IF(B5&gt;C5,"Adeleke","APC")</x:f>
        <x:v>Adeleke</x:v>
      </x:c>
      <x:c r="J5" s="34" t="n">
        <x:f>ABS(B5-C5)</x:f>
        <x:v>1149</x:v>
      </x:c>
      <x:c r="K5" s="34" t="n">
        <x:v>7479</x:v>
      </x:c>
      <x:c r="L5" s="34" t="n">
        <x:v>10037</x:v>
      </x:c>
      <x:c r="M5" s="34" t="n">
        <x:v>213</x:v>
      </x:c>
      <x:c r="N5" s="34" t="n">
        <x:f>O5-K5-L5-M5</x:f>
        <x:v>256</x:v>
      </x:c>
      <x:c r="O5" s="34" t="n">
        <x:v>17985</x:v>
      </x:c>
      <x:c r="P5" s="34" t="n">
        <x:v>18707</x:v>
      </x:c>
      <x:c r="Q5" s="34" t="n">
        <x:v>18399</x:v>
      </x:c>
      <x:c r="R5" s="34" t="n">
        <x:f>Q5-O5</x:f>
        <x:v>414</x:v>
      </x:c>
      <x:c r="S5" s="36" t="n">
        <x:f>K5/O5</x:f>
        <x:v>0.4158465387823186</x:v>
      </x:c>
      <x:c r="T5" s="36" t="n">
        <x:f>L5/O5</x:f>
        <x:v>0.5580761745899361</x:v>
      </x:c>
      <x:c r="U5" t="str">
        <x:f>IF(K5&gt;L5,"Adeleke","APC")</x:f>
        <x:v>APC</x:v>
      </x:c>
      <x:c r="V5" s="34" t="n">
        <x:f>ABS(K5-L5)</x:f>
        <x:v>2558</x:v>
      </x:c>
      <x:c r="W5" s="34" t="n">
        <x:f>K5-B5</x:f>
        <x:v>-271</x:v>
      </x:c>
      <x:c r="X5" s="34" t="n">
        <x:f>L5-C5</x:f>
        <x:v>3436</x:v>
      </x:c>
      <x:c r="Y5" s="38" t="n">
        <x:f>(S5-G5)*100</x:f>
        <x:v>-10.801448595744079</x:v>
      </x:c>
      <x:c r="Z5" s="38" t="n">
        <x:f>(T5-H5)*100</x:f>
        <x:v>11.188177145352945</x:v>
      </x:c>
      <x:c r="AA5" t="str">
        <x:f>IF(I5=U5,"No","Yes")</x:f>
        <x:v>Yes</x:v>
      </x:c>
      <x:c r="AB5" s="36" t="n">
        <x:f>V5/O5</x:f>
        <x:v>0.14222963580761747</x:v>
      </x:c>
      <x:c r="AC5" s="21" t="str"/>
    </x:row>
    <x:row r="6">
      <x:c r="A6" t="str">
        <x:v>Boluwaduro</x:v>
      </x:c>
      <x:c r="B6" s="34" t="n">
        <x:v>5860</x:v>
      </x:c>
      <x:c r="C6" s="34" t="n">
        <x:v>5649</x:v>
      </x:c>
      <x:c r="D6" s="34" t="n">
        <x:v>286</x:v>
      </x:c>
      <x:c r="E6" s="34" t="n">
        <x:v>11795</x:v>
      </x:c>
      <x:c r="F6" s="36" t="n">
        <x:v>0.4935</x:v>
      </x:c>
      <x:c r="G6" s="36" t="n">
        <x:f>B6/E6</x:f>
        <x:v>0.49682068673166596</x:v>
      </x:c>
      <x:c r="H6" s="36" t="n">
        <x:f>C6/E6</x:f>
        <x:v>0.47893175074183975</x:v>
      </x:c>
      <x:c r="I6" t="str">
        <x:f>IF(B6&gt;C6,"Adeleke","APC")</x:f>
        <x:v>Adeleke</x:v>
      </x:c>
      <x:c r="J6" s="34" t="n">
        <x:f>ABS(B6-C6)</x:f>
        <x:v>211</x:v>
      </x:c>
      <x:c r="K6" s="34" t="n">
        <x:v>7118</x:v>
      </x:c>
      <x:c r="L6" s="34" t="n">
        <x:v>7050</x:v>
      </x:c>
      <x:c r="M6" s="34" t="n">
        <x:v>179</x:v>
      </x:c>
      <x:c r="N6" s="34" t="n">
        <x:f>O6-K6-L6-M6</x:f>
        <x:v>131</x:v>
      </x:c>
      <x:c r="O6" s="34" t="n">
        <x:v>14478</x:v>
      </x:c>
      <x:c r="P6" s="34" t="n">
        <x:v>14662</x:v>
      </x:c>
      <x:c r="Q6" s="34" t="n">
        <x:v>14655</x:v>
      </x:c>
      <x:c r="R6" s="34" t="n">
        <x:f>Q6-O6</x:f>
        <x:v>177</x:v>
      </x:c>
      <x:c r="S6" s="36" t="n">
        <x:f>K6/O6</x:f>
        <x:v>0.49164249205691396</x:v>
      </x:c>
      <x:c r="T6" s="36" t="n">
        <x:f>L6/O6</x:f>
        <x:v>0.4869457107335267</x:v>
      </x:c>
      <x:c r="U6" t="str">
        <x:f>IF(K6&gt;L6,"Adeleke","APC")</x:f>
        <x:v>Adeleke</x:v>
      </x:c>
      <x:c r="V6" s="34" t="n">
        <x:f>ABS(K6-L6)</x:f>
        <x:v>68</x:v>
      </x:c>
      <x:c r="W6" s="34" t="n">
        <x:f>K6-B6</x:f>
        <x:v>1258</x:v>
      </x:c>
      <x:c r="X6" s="34" t="n">
        <x:f>L6-C6</x:f>
        <x:v>1401</x:v>
      </x:c>
      <x:c r="Y6" s="38" t="n">
        <x:f>(S6-G6)*100</x:f>
        <x:v>-0.5178194674752001</x:v>
      </x:c>
      <x:c r="Z6" s="38" t="n">
        <x:f>(T6-H6)*100</x:f>
        <x:v>0.801395999168697</x:v>
      </x:c>
      <x:c r="AA6" t="str">
        <x:f>IF(I6=U6,"No","Yes")</x:f>
        <x:v>No</x:v>
      </x:c>
      <x:c r="AB6" s="36" t="n">
        <x:f>V6/O6</x:f>
        <x:v>0.004696781323387208</x:v>
      </x:c>
      <x:c r="AC6" s="21" t="str"/>
    </x:row>
    <x:row r="7">
      <x:c r="A7" t="str">
        <x:v>Boripe</x:v>
      </x:c>
      <x:c r="B7" s="34" t="n">
        <x:v>7595</x:v>
      </x:c>
      <x:c r="C7" s="34" t="n">
        <x:v>21205</x:v>
      </x:c>
      <x:c r="D7" s="34" t="n">
        <x:v>710</x:v>
      </x:c>
      <x:c r="E7" s="34" t="n">
        <x:v>29510</x:v>
      </x:c>
      <x:c r="F7" s="36" t="n">
        <x:v>0.433</x:v>
      </x:c>
      <x:c r="G7" s="36" t="n">
        <x:f>B7/E7</x:f>
        <x:v>0.2573703829210437</x:v>
      </x:c>
      <x:c r="H7" s="36" t="n">
        <x:f>C7/E7</x:f>
        <x:v>0.7185699762792274</x:v>
      </x:c>
      <x:c r="I7" t="str">
        <x:f>IF(B7&gt;C7,"Adeleke","APC")</x:f>
        <x:v>APC</x:v>
      </x:c>
      <x:c r="J7" s="34" t="n">
        <x:f>ABS(B7-C7)</x:f>
        <x:v>13610</x:v>
      </x:c>
      <x:c r="K7" s="34" t="n">
        <x:v>12448</x:v>
      </x:c>
      <x:c r="L7" s="34" t="n">
        <x:v>19963</x:v>
      </x:c>
      <x:c r="M7" s="34" t="n">
        <x:v>379</x:v>
      </x:c>
      <x:c r="N7" s="34" t="n">
        <x:f>O7-K7-L7-M7</x:f>
        <x:v>326</x:v>
      </x:c>
      <x:c r="O7" s="34" t="n">
        <x:v>33116</x:v>
      </x:c>
      <x:c r="P7" s="34" t="n">
        <x:v>33943</x:v>
      </x:c>
      <x:c r="Q7" s="34" t="n">
        <x:v>33713</x:v>
      </x:c>
      <x:c r="R7" s="34" t="n">
        <x:f>Q7-O7</x:f>
        <x:v>597</x:v>
      </x:c>
      <x:c r="S7" s="36" t="n">
        <x:f>K7/O7</x:f>
        <x:v>0.3758908080686073</x:v>
      </x:c>
      <x:c r="T7" s="36" t="n">
        <x:f>L7/O7</x:f>
        <x:v>0.6028203889358619</x:v>
      </x:c>
      <x:c r="U7" t="str">
        <x:f>IF(K7&gt;L7,"Adeleke","APC")</x:f>
        <x:v>APC</x:v>
      </x:c>
      <x:c r="V7" s="34" t="n">
        <x:f>ABS(K7-L7)</x:f>
        <x:v>7515</x:v>
      </x:c>
      <x:c r="W7" s="34" t="n">
        <x:f>K7-B7</x:f>
        <x:v>4853</x:v>
      </x:c>
      <x:c r="X7" s="34" t="n">
        <x:f>L7-C7</x:f>
        <x:v>-1242</x:v>
      </x:c>
      <x:c r="Y7" s="38" t="n">
        <x:f>(S7-G7)*100</x:f>
        <x:v>11.852042514756361</x:v>
      </x:c>
      <x:c r="Z7" s="38" t="n">
        <x:f>(T7-H7)*100</x:f>
        <x:v>-11.57495873433655</x:v>
      </x:c>
      <x:c r="AA7" t="str">
        <x:f>IF(I7=U7,"No","Yes")</x:f>
        <x:v>No</x:v>
      </x:c>
      <x:c r="AB7" s="36" t="n">
        <x:f>V7/O7</x:f>
        <x:v>0.2269295808672545</x:v>
      </x:c>
      <x:c r="AC7" s="21" t="str"/>
    </x:row>
    <x:row r="8">
      <x:c r="A8" t="str">
        <x:v>Ede North</x:v>
      </x:c>
      <x:c r="B8" s="34" t="n">
        <x:v>23931</x:v>
      </x:c>
      <x:c r="C8" s="34" t="n">
        <x:v>9603</x:v>
      </x:c>
      <x:c r="D8" s="34" t="n">
        <x:v>579</x:v>
      </x:c>
      <x:c r="E8" s="34" t="n">
        <x:v>34113</x:v>
      </x:c>
      <x:c r="F8" s="36" t="n">
        <x:v>0.4834</x:v>
      </x:c>
      <x:c r="G8" s="36" t="n">
        <x:f>B8/E8</x:f>
        <x:v>0.7015214141236479</x:v>
      </x:c>
      <x:c r="H8" s="36" t="n">
        <x:f>C8/E8</x:f>
        <x:v>0.2815055843813209</x:v>
      </x:c>
      <x:c r="I8" t="str">
        <x:f>IF(B8&gt;C8,"Adeleke","APC")</x:f>
        <x:v>Adeleke</x:v>
      </x:c>
      <x:c r="J8" s="34" t="n">
        <x:f>ABS(B8-C8)</x:f>
        <x:v>14328</x:v>
      </x:c>
      <x:c r="K8" s="34" t="n">
        <x:v>35427</x:v>
      </x:c>
      <x:c r="L8" s="34" t="n">
        <x:v>10283</x:v>
      </x:c>
      <x:c r="M8" s="34" t="n">
        <x:v>307</x:v>
      </x:c>
      <x:c r="N8" s="34" t="n">
        <x:f>O8-K8-L8-M8</x:f>
        <x:v>457</x:v>
      </x:c>
      <x:c r="O8" s="34" t="n">
        <x:v>46474</x:v>
      </x:c>
      <x:c r="P8" s="34" t="n">
        <x:v>47262</x:v>
      </x:c>
      <x:c r="Q8" s="34" t="n">
        <x:v>47205</x:v>
      </x:c>
      <x:c r="R8" s="34" t="n">
        <x:f>Q8-O8</x:f>
        <x:v>731</x:v>
      </x:c>
      <x:c r="S8" s="36" t="n">
        <x:f>K8/O8</x:f>
        <x:v>0.7622971984335327</x:v>
      </x:c>
      <x:c r="T8" s="36" t="n">
        <x:f>L8/O8</x:f>
        <x:v>0.22126350217325816</x:v>
      </x:c>
      <x:c r="U8" t="str">
        <x:f>IF(K8&gt;L8,"Adeleke","APC")</x:f>
        <x:v>Adeleke</x:v>
      </x:c>
      <x:c r="V8" s="34" t="n">
        <x:f>ABS(K8-L8)</x:f>
        <x:v>25144</x:v>
      </x:c>
      <x:c r="W8" s="34" t="n">
        <x:f>K8-B8</x:f>
        <x:v>11496</x:v>
      </x:c>
      <x:c r="X8" s="34" t="n">
        <x:f>L8-C8</x:f>
        <x:v>680</x:v>
      </x:c>
      <x:c r="Y8" s="38" t="n">
        <x:f>(S8-G8)*100</x:f>
        <x:v>6.077578430988484</x:v>
      </x:c>
      <x:c r="Z8" s="38" t="n">
        <x:f>(T8-H8)*100</x:f>
        <x:v>-6.0242082208062735</x:v>
      </x:c>
      <x:c r="AA8" t="str">
        <x:f>IF(I8=U8,"No","Yes")</x:f>
        <x:v>No</x:v>
      </x:c>
      <x:c r="AB8" s="36" t="n">
        <x:f>V8/O8</x:f>
        <x:v>0.5410336962602745</x:v>
      </x:c>
      <x:c r="AC8" s="21" t="str"/>
    </x:row>
    <x:row r="9">
      <x:c r="A9" t="str">
        <x:v>Ede South</x:v>
      </x:c>
      <x:c r="B9" s="34" t="n">
        <x:v>19438</x:v>
      </x:c>
      <x:c r="C9" s="34" t="n">
        <x:v>5704</x:v>
      </x:c>
      <x:c r="D9" s="34" t="n">
        <x:v>549</x:v>
      </x:c>
      <x:c r="E9" s="34" t="n">
        <x:v>25691</x:v>
      </x:c>
      <x:c r="F9" s="36" t="n">
        <x:v>0.4781</x:v>
      </x:c>
      <x:c r="G9" s="36" t="n">
        <x:f>B9/E9</x:f>
        <x:v>0.7566073722315207</x:v>
      </x:c>
      <x:c r="H9" s="36" t="n">
        <x:f>C9/E9</x:f>
        <x:v>0.22202327663384064</x:v>
      </x:c>
      <x:c r="I9" t="str">
        <x:f>IF(B9&gt;C9,"Adeleke","APC")</x:f>
        <x:v>Adeleke</x:v>
      </x:c>
      <x:c r="J9" s="34" t="n">
        <x:f>ABS(B9-C9)</x:f>
        <x:v>13734</x:v>
      </x:c>
      <x:c r="K9" s="34" t="n">
        <x:v>26188</x:v>
      </x:c>
      <x:c r="L9" s="34" t="n">
        <x:v>6219</x:v>
      </x:c>
      <x:c r="M9" s="34" t="n">
        <x:v>390</x:v>
      </x:c>
      <x:c r="N9" s="34" t="n">
        <x:f>O9-K9-L9-M9</x:f>
        <x:v>413</x:v>
      </x:c>
      <x:c r="O9" s="34" t="n">
        <x:v>33210</x:v>
      </x:c>
      <x:c r="P9" s="34" t="n">
        <x:v>34011</x:v>
      </x:c>
      <x:c r="Q9" s="34" t="n">
        <x:v>33950</x:v>
      </x:c>
      <x:c r="R9" s="34" t="n">
        <x:f>Q9-O9</x:f>
        <x:v>740</x:v>
      </x:c>
      <x:c r="S9" s="36" t="n">
        <x:f>K9/O9</x:f>
        <x:v>0.7885576633544114</x:v>
      </x:c>
      <x:c r="T9" s="36" t="n">
        <x:f>L9/O9</x:f>
        <x:v>0.1872628726287263</x:v>
      </x:c>
      <x:c r="U9" t="str">
        <x:f>IF(K9&gt;L9,"Adeleke","APC")</x:f>
        <x:v>Adeleke</x:v>
      </x:c>
      <x:c r="V9" s="34" t="n">
        <x:f>ABS(K9-L9)</x:f>
        <x:v>19969</x:v>
      </x:c>
      <x:c r="W9" s="34" t="n">
        <x:f>K9-B9</x:f>
        <x:v>6750</x:v>
      </x:c>
      <x:c r="X9" s="34" t="n">
        <x:f>L9-C9</x:f>
        <x:v>515</x:v>
      </x:c>
      <x:c r="Y9" s="38" t="n">
        <x:f>(S9-G9)*100</x:f>
        <x:v>3.1950291122890606</x:v>
      </x:c>
      <x:c r="Z9" s="38" t="n">
        <x:f>(T9-H9)*100</x:f>
        <x:v>-3.476040400511435</x:v>
      </x:c>
      <x:c r="AA9" t="str">
        <x:f>IF(I9=U9,"No","Yes")</x:f>
        <x:v>No</x:v>
      </x:c>
      <x:c r="AB9" s="36" t="n">
        <x:f>V9/O9</x:f>
        <x:v>0.601294790725685</x:v>
      </x:c>
      <x:c r="AC9" s="21" t="str"/>
    </x:row>
    <x:row r="10">
      <x:c r="A10" t="str">
        <x:v>Egbedore</x:v>
      </x:c>
      <x:c r="B10" s="34" t="n">
        <x:v>13230</x:v>
      </x:c>
      <x:c r="C10" s="34" t="n">
        <x:v>9228</x:v>
      </x:c>
      <x:c r="D10" s="34" t="n">
        <x:v>614</x:v>
      </x:c>
      <x:c r="E10" s="34" t="n">
        <x:v>23072</x:v>
      </x:c>
      <x:c r="F10" s="36" t="n">
        <x:v>0.4412</x:v>
      </x:c>
      <x:c r="G10" s="36" t="n">
        <x:f>B10/E10</x:f>
        <x:v>0.5734223300970874</x:v>
      </x:c>
      <x:c r="H10" s="36" t="n">
        <x:f>C10/E10</x:f>
        <x:v>0.3999653259361997</x:v>
      </x:c>
      <x:c r="I10" t="str">
        <x:f>IF(B10&gt;C10,"Adeleke","APC")</x:f>
        <x:v>Adeleke</x:v>
      </x:c>
      <x:c r="J10" s="34" t="n">
        <x:f>ABS(B10-C10)</x:f>
        <x:v>4002</x:v>
      </x:c>
      <x:c r="K10" s="34" t="n">
        <x:v>19278</x:v>
      </x:c>
      <x:c r="L10" s="34" t="n">
        <x:v>11194</x:v>
      </x:c>
      <x:c r="M10" s="34" t="n">
        <x:v>363</x:v>
      </x:c>
      <x:c r="N10" s="34" t="n">
        <x:f>O10-K10-L10-M10</x:f>
        <x:v>320</x:v>
      </x:c>
      <x:c r="O10" s="34" t="n">
        <x:v>31155</x:v>
      </x:c>
      <x:c r="P10" s="34" t="n">
        <x:v>31867</x:v>
      </x:c>
      <x:c r="Q10" s="34" t="n">
        <x:v>31830</x:v>
      </x:c>
      <x:c r="R10" s="34" t="n">
        <x:f>Q10-O10</x:f>
        <x:v>675</x:v>
      </x:c>
      <x:c r="S10" s="36" t="n">
        <x:f>K10/O10</x:f>
        <x:v>0.6187770823302841</x:v>
      </x:c>
      <x:c r="T10" s="36" t="n">
        <x:f>L10/O10</x:f>
        <x:v>0.35930027282940136</x:v>
      </x:c>
      <x:c r="U10" t="str">
        <x:f>IF(K10&gt;L10,"Adeleke","APC")</x:f>
        <x:v>Adeleke</x:v>
      </x:c>
      <x:c r="V10" s="34" t="n">
        <x:f>ABS(K10-L10)</x:f>
        <x:v>8084</x:v>
      </x:c>
      <x:c r="W10" s="34" t="n">
        <x:f>K10-B10</x:f>
        <x:v>6048</x:v>
      </x:c>
      <x:c r="X10" s="34" t="n">
        <x:f>L10-C10</x:f>
        <x:v>1966</x:v>
      </x:c>
      <x:c r="Y10" s="38" t="n">
        <x:f>(S10-G10)*100</x:f>
        <x:v>4.535475223319663</x:v>
      </x:c>
      <x:c r="Z10" s="38" t="n">
        <x:f>(T10-H10)*100</x:f>
        <x:v>-4.066505310679835</x:v>
      </x:c>
      <x:c r="AA10" t="str">
        <x:f>IF(I10=U10,"No","Yes")</x:f>
        <x:v>No</x:v>
      </x:c>
      <x:c r="AB10" s="36" t="n">
        <x:f>V10/O10</x:f>
        <x:v>0.2594768095008827</x:v>
      </x:c>
      <x:c r="AC10" s="21" t="str"/>
    </x:row>
    <x:row r="11">
      <x:c r="A11" t="str">
        <x:v>Ejigbo</x:v>
      </x:c>
      <x:c r="B11" s="34" t="n">
        <x:v>18065</x:v>
      </x:c>
      <x:c r="C11" s="34" t="n">
        <x:v>14355</x:v>
      </x:c>
      <x:c r="D11" s="34" t="n">
        <x:v>909</x:v>
      </x:c>
      <x:c r="E11" s="34" t="n">
        <x:v>33329</x:v>
      </x:c>
      <x:c r="F11" s="36" t="n">
        <x:v>0.465</x:v>
      </x:c>
      <x:c r="G11" s="36" t="n">
        <x:f>B11/E11</x:f>
        <x:v>0.5420204626601458</x:v>
      </x:c>
      <x:c r="H11" s="36" t="n">
        <x:f>C11/E11</x:f>
        <x:v>0.43070599177893126</x:v>
      </x:c>
      <x:c r="I11" t="str">
        <x:f>IF(B11&gt;C11,"Adeleke","APC")</x:f>
        <x:v>Adeleke</x:v>
      </x:c>
      <x:c r="J11" s="34" t="n">
        <x:f>ABS(B11-C11)</x:f>
        <x:v>3710</x:v>
      </x:c>
      <x:c r="K11" s="34" t="n">
        <x:v>18458</x:v>
      </x:c>
      <x:c r="L11" s="34" t="n">
        <x:v>16195</x:v>
      </x:c>
      <x:c r="M11" s="34" t="n">
        <x:v>5053</x:v>
      </x:c>
      <x:c r="N11" s="34" t="n">
        <x:f>O11-K11-L11-M11</x:f>
        <x:v>608</x:v>
      </x:c>
      <x:c r="O11" s="34" t="n">
        <x:v>40314</x:v>
      </x:c>
      <x:c r="P11" s="34" t="n">
        <x:v>41173</x:v>
      </x:c>
      <x:c r="Q11" s="34" t="n">
        <x:v>41125</x:v>
      </x:c>
      <x:c r="R11" s="34" t="n">
        <x:f>Q11-O11</x:f>
        <x:v>811</x:v>
      </x:c>
      <x:c r="S11" s="36" t="n">
        <x:f>K11/O11</x:f>
        <x:v>0.4578558317209902</x:v>
      </x:c>
      <x:c r="T11" s="36" t="n">
        <x:f>L11/O11</x:f>
        <x:v>0.4017214863322915</x:v>
      </x:c>
      <x:c r="U11" t="str">
        <x:f>IF(K11&gt;L11,"Adeleke","APC")</x:f>
        <x:v>Adeleke</x:v>
      </x:c>
      <x:c r="V11" s="34" t="n">
        <x:f>ABS(K11-L11)</x:f>
        <x:v>2263</x:v>
      </x:c>
      <x:c r="W11" s="34" t="n">
        <x:f>K11-B11</x:f>
        <x:v>393</x:v>
      </x:c>
      <x:c r="X11" s="34" t="n">
        <x:f>L11-C11</x:f>
        <x:v>1840</x:v>
      </x:c>
      <x:c r="Y11" s="38" t="n">
        <x:f>(S11-G11)*100</x:f>
        <x:v>-8.41646309391556</x:v>
      </x:c>
      <x:c r="Z11" s="38" t="n">
        <x:f>(T11-H11)*100</x:f>
        <x:v>-2.8984505446639774</x:v>
      </x:c>
      <x:c r="AA11" t="str">
        <x:f>IF(I11=U11,"No","Yes")</x:f>
        <x:v>No</x:v>
      </x:c>
      <x:c r="AB11" s="36" t="n">
        <x:f>V11/O11</x:f>
        <x:v>0.056134345388698714</x:v>
      </x:c>
      <x:c r="AC11" s="21" t="str"/>
    </x:row>
    <x:row r="12">
      <x:c r="A12" t="str">
        <x:v>Ife Central</x:v>
      </x:c>
      <x:c r="B12" s="34" t="n">
        <x:v>13532</x:v>
      </x:c>
      <x:c r="C12" s="34" t="n">
        <x:v>17880</x:v>
      </x:c>
      <x:c r="D12" s="34" t="n">
        <x:v>1132</x:v>
      </x:c>
      <x:c r="E12" s="34" t="n">
        <x:v>32544</x:v>
      </x:c>
      <x:c r="F12" s="36" t="n">
        <x:v>0.295</x:v>
      </x:c>
      <x:c r="G12" s="36" t="n">
        <x:f>B12/E12</x:f>
        <x:v>0.4158062930186824</x:v>
      </x:c>
      <x:c r="H12" s="36" t="n">
        <x:f>C12/E12</x:f>
        <x:v>0.549410029498525</x:v>
      </x:c>
      <x:c r="I12" t="str">
        <x:f>IF(B12&gt;C12,"Adeleke","APC")</x:f>
        <x:v>APC</x:v>
      </x:c>
      <x:c r="J12" s="34" t="n">
        <x:f>ABS(B12-C12)</x:f>
        <x:v>4348</x:v>
      </x:c>
      <x:c r="K12" s="34" t="n">
        <x:v>21171</x:v>
      </x:c>
      <x:c r="L12" s="34" t="n">
        <x:v>15913</x:v>
      </x:c>
      <x:c r="M12" s="34" t="n">
        <x:v>747</x:v>
      </x:c>
      <x:c r="N12" s="34" t="n">
        <x:f>O12-K12-L12-M12</x:f>
        <x:v>549</x:v>
      </x:c>
      <x:c r="O12" s="34" t="n">
        <x:v>38380</x:v>
      </x:c>
      <x:c r="P12" s="34" t="n">
        <x:v>39990</x:v>
      </x:c>
      <x:c r="Q12" s="34" t="n">
        <x:v>39330</x:v>
      </x:c>
      <x:c r="R12" s="34" t="n">
        <x:f>Q12-O12</x:f>
        <x:v>950</x:v>
      </x:c>
      <x:c r="S12" s="36" t="n">
        <x:f>K12/O12</x:f>
        <x:v>0.5516154247003647</x:v>
      </x:c>
      <x:c r="T12" s="36" t="n">
        <x:f>L12/O12</x:f>
        <x:v>0.41461698801459096</x:v>
      </x:c>
      <x:c r="U12" t="str">
        <x:f>IF(K12&gt;L12,"Adeleke","APC")</x:f>
        <x:v>Adeleke</x:v>
      </x:c>
      <x:c r="V12" s="34" t="n">
        <x:f>ABS(K12-L12)</x:f>
        <x:v>5258</x:v>
      </x:c>
      <x:c r="W12" s="34" t="n">
        <x:f>K12-B12</x:f>
        <x:v>7639</x:v>
      </x:c>
      <x:c r="X12" s="34" t="n">
        <x:f>L12-C12</x:f>
        <x:v>-1967</x:v>
      </x:c>
      <x:c r="Y12" s="38" t="n">
        <x:f>(S12-G12)*100</x:f>
        <x:v>13.580913168168236</x:v>
      </x:c>
      <x:c r="Z12" s="38" t="n">
        <x:f>(T12-H12)*100</x:f>
        <x:v>-13.479304148393407</x:v>
      </x:c>
      <x:c r="AA12" t="str">
        <x:f>IF(I12=U12,"No","Yes")</x:f>
        <x:v>Yes</x:v>
      </x:c>
      <x:c r="AB12" s="36" t="n">
        <x:f>V12/O12</x:f>
        <x:v>0.13699843668577383</x:v>
      </x:c>
      <x:c r="AC12" s="21" t="str"/>
    </x:row>
    <x:row r="13">
      <x:c r="A13" t="str">
        <x:v>Ife East</x:v>
      </x:c>
      <x:c r="B13" s="34" t="n">
        <x:v>18071</x:v>
      </x:c>
      <x:c r="C13" s="34" t="n">
        <x:v>19353</x:v>
      </x:c>
      <x:c r="D13" s="34" t="n">
        <x:v>1701</x:v>
      </x:c>
      <x:c r="E13" s="34" t="n">
        <x:v>39125</x:v>
      </x:c>
      <x:c r="F13" s="36" t="n">
        <x:v>0.355</x:v>
      </x:c>
      <x:c r="G13" s="36" t="n">
        <x:f>B13/E13</x:f>
        <x:v>0.4618785942492013</x:v>
      </x:c>
      <x:c r="H13" s="36" t="n">
        <x:f>C13/E13</x:f>
        <x:v>0.4946453674121406</x:v>
      </x:c>
      <x:c r="I13" t="str">
        <x:f>IF(B13&gt;C13,"Adeleke","APC")</x:f>
        <x:v>APC</x:v>
      </x:c>
      <x:c r="J13" s="34" t="n">
        <x:f>ABS(B13-C13)</x:f>
        <x:v>1282</x:v>
      </x:c>
      <x:c r="K13" s="34" t="n">
        <x:v>27201</x:v>
      </x:c>
      <x:c r="L13" s="34" t="n">
        <x:v>18600</x:v>
      </x:c>
      <x:c r="M13" s="34" t="n">
        <x:v>935</x:v>
      </x:c>
      <x:c r="N13" s="34" t="n">
        <x:f>O13-K13-L13-M13</x:f>
        <x:v>783</x:v>
      </x:c>
      <x:c r="O13" s="34" t="n">
        <x:v>47519</x:v>
      </x:c>
      <x:c r="P13" s="34" t="n">
        <x:v>49065</x:v>
      </x:c>
      <x:c r="Q13" s="34" t="n">
        <x:v>49017</x:v>
      </x:c>
      <x:c r="R13" s="34" t="n">
        <x:f>Q13-O13</x:f>
        <x:v>1498</x:v>
      </x:c>
      <x:c r="S13" s="36" t="n">
        <x:f>K13/O13</x:f>
        <x:v>0.5724236621141017</x:v>
      </x:c>
      <x:c r="T13" s="36" t="n">
        <x:f>L13/O13</x:f>
        <x:v>0.39142237841705424</x:v>
      </x:c>
      <x:c r="U13" t="str">
        <x:f>IF(K13&gt;L13,"Adeleke","APC")</x:f>
        <x:v>Adeleke</x:v>
      </x:c>
      <x:c r="V13" s="34" t="n">
        <x:f>ABS(K13-L13)</x:f>
        <x:v>8601</x:v>
      </x:c>
      <x:c r="W13" s="34" t="n">
        <x:f>K13-B13</x:f>
        <x:v>9130</x:v>
      </x:c>
      <x:c r="X13" s="34" t="n">
        <x:f>L13-C13</x:f>
        <x:v>-753</x:v>
      </x:c>
      <x:c r="Y13" s="38" t="n">
        <x:f>(S13-G13)*100</x:f>
        <x:v>11.054506786490037</x:v>
      </x:c>
      <x:c r="Z13" s="38" t="n">
        <x:f>(T13-H13)*100</x:f>
        <x:v>-10.322298899508636</x:v>
      </x:c>
      <x:c r="AA13" t="str">
        <x:f>IF(I13=U13,"No","Yes")</x:f>
        <x:v>Yes</x:v>
      </x:c>
      <x:c r="AB13" s="36" t="n">
        <x:f>V13/O13</x:f>
        <x:v>0.1810012836970475</x:v>
      </x:c>
      <x:c r="AC13" s="21" t="str"/>
    </x:row>
    <x:row r="14">
      <x:c r="A14" t="str">
        <x:v>Ife North</x:v>
      </x:c>
      <x:c r="B14" s="34" t="n">
        <x:v>10359</x:v>
      </x:c>
      <x:c r="C14" s="34" t="n">
        <x:v>9964</x:v>
      </x:c>
      <x:c r="D14" s="34" t="n">
        <x:v>727</x:v>
      </x:c>
      <x:c r="E14" s="34" t="n">
        <x:v>21050</x:v>
      </x:c>
      <x:c r="F14" s="36" t="n">
        <x:v>0.3699</x:v>
      </x:c>
      <x:c r="G14" s="36" t="n">
        <x:f>B14/E14</x:f>
        <x:v>0.4921140142517815</x:v>
      </x:c>
      <x:c r="H14" s="36" t="n">
        <x:f>C14/E14</x:f>
        <x:v>0.4733491686460808</x:v>
      </x:c>
      <x:c r="I14" t="str">
        <x:f>IF(B14&gt;C14,"Adeleke","APC")</x:f>
        <x:v>Adeleke</x:v>
      </x:c>
      <x:c r="J14" s="34" t="n">
        <x:f>ABS(B14-C14)</x:f>
        <x:v>395</x:v>
      </x:c>
      <x:c r="K14" s="34" t="n">
        <x:v>13879</x:v>
      </x:c>
      <x:c r="L14" s="34" t="n">
        <x:v>9613</x:v>
      </x:c>
      <x:c r="M14" s="34" t="n">
        <x:v>333</x:v>
      </x:c>
      <x:c r="N14" s="34" t="n">
        <x:f>O14-K14-L14-M14</x:f>
        <x:v>391</x:v>
      </x:c>
      <x:c r="O14" s="34" t="n">
        <x:v>24216</x:v>
      </x:c>
      <x:c r="P14" s="34" t="n">
        <x:v>24772</x:v>
      </x:c>
      <x:c r="Q14" s="34" t="n">
        <x:v>24704</x:v>
      </x:c>
      <x:c r="R14" s="34" t="n">
        <x:f>Q14-O14</x:f>
        <x:v>488</x:v>
      </x:c>
      <x:c r="S14" s="36" t="n">
        <x:f>K14/O14</x:f>
        <x:v>0.5731334654773703</x:v>
      </x:c>
      <x:c r="T14" s="36" t="n">
        <x:f>L14/O14</x:f>
        <x:v>0.3969689461513049</x:v>
      </x:c>
      <x:c r="U14" t="str">
        <x:f>IF(K14&gt;L14,"Adeleke","APC")</x:f>
        <x:v>Adeleke</x:v>
      </x:c>
      <x:c r="V14" s="34" t="n">
        <x:f>ABS(K14-L14)</x:f>
        <x:v>4266</x:v>
      </x:c>
      <x:c r="W14" s="34" t="n">
        <x:f>K14-B14</x:f>
        <x:v>3520</x:v>
      </x:c>
      <x:c r="X14" s="34" t="n">
        <x:f>L14-C14</x:f>
        <x:v>-351</x:v>
      </x:c>
      <x:c r="Y14" s="38" t="n">
        <x:f>(S14-G14)*100</x:f>
        <x:v>8.101945122558885</x:v>
      </x:c>
      <x:c r="Z14" s="38" t="n">
        <x:f>(T14-H14)*100</x:f>
        <x:v>-7.638022249477588</x:v>
      </x:c>
      <x:c r="AA14" t="str">
        <x:f>IF(I14=U14,"No","Yes")</x:f>
        <x:v>No</x:v>
      </x:c>
      <x:c r="AB14" s="36" t="n">
        <x:f>V14/O14</x:f>
        <x:v>0.17616451932606542</x:v>
      </x:c>
      <x:c r="AC14" s="21" t="str"/>
    </x:row>
    <x:row r="15">
      <x:c r="A15" t="str">
        <x:v>Ife South</x:v>
      </x:c>
      <x:c r="B15" s="34" t="n">
        <x:v>9116</x:v>
      </x:c>
      <x:c r="C15" s="34" t="n">
        <x:v>12481</x:v>
      </x:c>
      <x:c r="D15" s="34" t="n">
        <x:v>729</x:v>
      </x:c>
      <x:c r="E15" s="34" t="n">
        <x:v>22326</x:v>
      </x:c>
      <x:c r="F15" s="36" t="n">
        <x:v>0.4041</x:v>
      </x:c>
      <x:c r="G15" s="36" t="n">
        <x:f>B15/E15</x:f>
        <x:v>0.40831317746125595</x:v>
      </x:c>
      <x:c r="H15" s="36" t="n">
        <x:f>C15/E15</x:f>
        <x:v>0.5590343097733584</x:v>
      </x:c>
      <x:c r="I15" t="str">
        <x:f>IF(B15&gt;C15,"Adeleke","APC")</x:f>
        <x:v>APC</x:v>
      </x:c>
      <x:c r="J15" s="34" t="n">
        <x:f>ABS(B15-C15)</x:f>
        <x:v>3365</x:v>
      </x:c>
      <x:c r="K15" s="34" t="n">
        <x:v>13507</x:v>
      </x:c>
      <x:c r="L15" s="34" t="n">
        <x:v>14678</x:v>
      </x:c>
      <x:c r="M15" s="34" t="n">
        <x:v>290</x:v>
      </x:c>
      <x:c r="N15" s="34" t="n">
        <x:f>O15-K15-L15-M15</x:f>
        <x:v>431</x:v>
      </x:c>
      <x:c r="O15" s="34" t="n">
        <x:v>28906</x:v>
      </x:c>
      <x:c r="P15" s="34" t="n">
        <x:v>29521</x:v>
      </x:c>
      <x:c r="Q15" s="34" t="n">
        <x:v>29461</x:v>
      </x:c>
      <x:c r="R15" s="34" t="n">
        <x:f>Q15-O15</x:f>
        <x:v>555</x:v>
      </x:c>
      <x:c r="S15" s="36" t="n">
        <x:f>K15/O15</x:f>
        <x:v>0.46727323047118247</x:v>
      </x:c>
      <x:c r="T15" s="36" t="n">
        <x:f>L15/O15</x:f>
        <x:v>0.5077838511035772</x:v>
      </x:c>
      <x:c r="U15" t="str">
        <x:f>IF(K15&gt;L15,"Adeleke","APC")</x:f>
        <x:v>APC</x:v>
      </x:c>
      <x:c r="V15" s="34" t="n">
        <x:f>ABS(K15-L15)</x:f>
        <x:v>1171</x:v>
      </x:c>
      <x:c r="W15" s="34" t="n">
        <x:f>K15-B15</x:f>
        <x:v>4391</x:v>
      </x:c>
      <x:c r="X15" s="34" t="n">
        <x:f>L15-C15</x:f>
        <x:v>2197</x:v>
      </x:c>
      <x:c r="Y15" s="38" t="n">
        <x:f>(S15-G15)*100</x:f>
        <x:v>5.896005300992652</x:v>
      </x:c>
      <x:c r="Z15" s="38" t="n">
        <x:f>(T15-H15)*100</x:f>
        <x:v>-5.1250458669781285</x:v>
      </x:c>
      <x:c r="AA15" t="str">
        <x:f>IF(I15=U15,"No","Yes")</x:f>
        <x:v>No</x:v>
      </x:c>
      <x:c r="AB15" s="36" t="n">
        <x:f>V15/O15</x:f>
        <x:v>0.04051062063239466</x:v>
      </x:c>
      <x:c r="AC15" s="21" t="str"/>
    </x:row>
    <x:row r="16">
      <x:c r="A16" t="str">
        <x:v>Ifedayo</x:v>
      </x:c>
      <x:c r="B16" s="34" t="n">
        <x:v>4730</x:v>
      </x:c>
      <x:c r="C16" s="34" t="n">
        <x:v>5016</x:v>
      </x:c>
      <x:c r="D16" s="34" t="n">
        <x:v>166</x:v>
      </x:c>
      <x:c r="E16" s="34" t="n">
        <x:v>9912</x:v>
      </x:c>
      <x:c r="F16" s="36" t="n">
        <x:v>0.5121</x:v>
      </x:c>
      <x:c r="G16" s="36" t="n">
        <x:f>B16/E16</x:f>
        <x:v>0.47719935431799837</x:v>
      </x:c>
      <x:c r="H16" s="36" t="n">
        <x:f>C16/E16</x:f>
        <x:v>0.5060532687651331</x:v>
      </x:c>
      <x:c r="I16" t="str">
        <x:f>IF(B16&gt;C16,"Adeleke","APC")</x:f>
        <x:v>APC</x:v>
      </x:c>
      <x:c r="J16" s="34" t="n">
        <x:f>ABS(B16-C16)</x:f>
        <x:v>286</x:v>
      </x:c>
      <x:c r="K16" s="34" t="n">
        <x:v>7427</x:v>
      </x:c>
      <x:c r="L16" s="34" t="n">
        <x:v>6836</x:v>
      </x:c>
      <x:c r="M16" s="34" t="n">
        <x:v>115</x:v>
      </x:c>
      <x:c r="N16" s="34" t="n">
        <x:f>O16-K16-L16-M16</x:f>
        <x:v>71</x:v>
      </x:c>
      <x:c r="O16" s="34" t="n">
        <x:v>14449</x:v>
      </x:c>
      <x:c r="P16" s="34" t="n">
        <x:v>14703</x:v>
      </x:c>
      <x:c r="Q16" s="34" t="n">
        <x:v>14703</x:v>
      </x:c>
      <x:c r="R16" s="34" t="n">
        <x:f>Q16-O16</x:f>
        <x:v>254</x:v>
      </x:c>
      <x:c r="S16" s="36" t="n">
        <x:f>K16/O16</x:f>
        <x:v>0.5140148107135442</x:v>
      </x:c>
      <x:c r="T16" s="36" t="n">
        <x:f>L16/O16</x:f>
        <x:v>0.47311232611253373</x:v>
      </x:c>
      <x:c r="U16" t="str">
        <x:f>IF(K16&gt;L16,"Adeleke","APC")</x:f>
        <x:v>Adeleke</x:v>
      </x:c>
      <x:c r="V16" s="34" t="n">
        <x:f>ABS(K16-L16)</x:f>
        <x:v>591</x:v>
      </x:c>
      <x:c r="W16" s="34" t="n">
        <x:f>K16-B16</x:f>
        <x:v>2697</x:v>
      </x:c>
      <x:c r="X16" s="34" t="n">
        <x:f>L16-C16</x:f>
        <x:v>1820</x:v>
      </x:c>
      <x:c r="Y16" s="38" t="n">
        <x:f>(S16-G16)*100</x:f>
        <x:v>3.681545639554579</x:v>
      </x:c>
      <x:c r="Z16" s="38" t="n">
        <x:f>(T16-H16)*100</x:f>
        <x:v>-3.294094265259939</x:v>
      </x:c>
      <x:c r="AA16" t="str">
        <x:f>IF(I16=U16,"No","Yes")</x:f>
        <x:v>Yes</x:v>
      </x:c>
      <x:c r="AB16" s="36" t="n">
        <x:f>V16/O16</x:f>
        <x:v>0.04090248460101045</x:v>
      </x:c>
      <x:c r="AC16" s="21" t="str">
        <x:v>2026 Ifedayo valid votes corrected to 14,449; Punch carried 1,449, while Channels' detailed party totals support 14,449.</x:v>
      </x:c>
    </x:row>
    <x:row r="17">
      <x:c r="A17" t="str">
        <x:v>Ifelodun</x:v>
      </x:c>
      <x:c r="B17" s="34" t="n">
        <x:v>17107</x:v>
      </x:c>
      <x:c r="C17" s="34" t="n">
        <x:v>16068</x:v>
      </x:c>
      <x:c r="D17" s="34" t="n">
        <x:v>861</x:v>
      </x:c>
      <x:c r="E17" s="34" t="n">
        <x:v>34036</x:v>
      </x:c>
      <x:c r="F17" s="36" t="n">
        <x:v>0.4352</x:v>
      </x:c>
      <x:c r="G17" s="36" t="n">
        <x:f>B17/E17</x:f>
        <x:v>0.5026148783640851</x:v>
      </x:c>
      <x:c r="H17" s="36" t="n">
        <x:f>C17/E17</x:f>
        <x:v>0.47208837701257494</x:v>
      </x:c>
      <x:c r="I17" t="str">
        <x:f>IF(B17&gt;C17,"Adeleke","APC")</x:f>
        <x:v>Adeleke</x:v>
      </x:c>
      <x:c r="J17" s="34" t="n">
        <x:f>ABS(B17-C17)</x:f>
        <x:v>1039</x:v>
      </x:c>
      <x:c r="K17" s="34" t="n">
        <x:v>21107</x:v>
      </x:c>
      <x:c r="L17" s="34" t="n">
        <x:v>18396</x:v>
      </x:c>
      <x:c r="M17" s="34" t="n">
        <x:v>509</x:v>
      </x:c>
      <x:c r="N17" s="34" t="n">
        <x:f>O17-K17-L17-M17</x:f>
        <x:v>454</x:v>
      </x:c>
      <x:c r="O17" s="34" t="n">
        <x:v>40466</x:v>
      </x:c>
      <x:c r="P17" s="34" t="n">
        <x:v>41156</x:v>
      </x:c>
      <x:c r="Q17" s="34" t="n">
        <x:v>41143</x:v>
      </x:c>
      <x:c r="R17" s="34" t="n">
        <x:f>Q17-O17</x:f>
        <x:v>677</x:v>
      </x:c>
      <x:c r="S17" s="36" t="n">
        <x:f>K17/O17</x:f>
        <x:v>0.5215983788859784</x:v>
      </x:c>
      <x:c r="T17" s="36" t="n">
        <x:f>L17/O17</x:f>
        <x:v>0.4546038649730638</x:v>
      </x:c>
      <x:c r="U17" t="str">
        <x:f>IF(K17&gt;L17,"Adeleke","APC")</x:f>
        <x:v>Adeleke</x:v>
      </x:c>
      <x:c r="V17" s="34" t="n">
        <x:f>ABS(K17-L17)</x:f>
        <x:v>2711</x:v>
      </x:c>
      <x:c r="W17" s="34" t="n">
        <x:f>K17-B17</x:f>
        <x:v>4000</x:v>
      </x:c>
      <x:c r="X17" s="34" t="n">
        <x:f>L17-C17</x:f>
        <x:v>2328</x:v>
      </x:c>
      <x:c r="Y17" s="38" t="n">
        <x:f>(S17-G17)*100</x:f>
        <x:v>1.8983500521893237</x:v>
      </x:c>
      <x:c r="Z17" s="38" t="n">
        <x:f>(T17-H17)*100</x:f>
        <x:v>-1.7484512039511124</x:v>
      </x:c>
      <x:c r="AA17" t="str">
        <x:f>IF(I17=U17,"No","Yes")</x:f>
        <x:v>No</x:v>
      </x:c>
      <x:c r="AB17" s="36" t="n">
        <x:f>V17/O17</x:f>
        <x:v>0.06699451391291454</x:v>
      </x:c>
      <x:c r="AC17" s="21" t="str"/>
    </x:row>
    <x:row r="18">
      <x:c r="A18" t="str">
        <x:v>Ila</x:v>
      </x:c>
      <x:c r="B18" s="34" t="n">
        <x:v>13036</x:v>
      </x:c>
      <x:c r="C18" s="34" t="n">
        <x:v>11163</x:v>
      </x:c>
      <x:c r="D18" s="34" t="n">
        <x:v>373</x:v>
      </x:c>
      <x:c r="E18" s="34" t="n">
        <x:v>24572</x:v>
      </x:c>
      <x:c r="F18" s="36" t="n">
        <x:v>0.5342</x:v>
      </x:c>
      <x:c r="G18" s="36" t="n">
        <x:f>B18/E18</x:f>
        <x:v>0.5305225459873026</x:v>
      </x:c>
      <x:c r="H18" s="36" t="n">
        <x:f>C18/E18</x:f>
        <x:v>0.45429757447501223</x:v>
      </x:c>
      <x:c r="I18" t="str">
        <x:f>IF(B18&gt;C18,"Adeleke","APC")</x:f>
        <x:v>Adeleke</x:v>
      </x:c>
      <x:c r="J18" s="34" t="n">
        <x:f>ABS(B18-C18)</x:f>
        <x:v>1873</x:v>
      </x:c>
      <x:c r="K18" s="34" t="n">
        <x:v>16211</x:v>
      </x:c>
      <x:c r="L18" s="34" t="n">
        <x:v>12934</x:v>
      </x:c>
      <x:c r="M18" s="34" t="n">
        <x:v>259</x:v>
      </x:c>
      <x:c r="N18" s="34" t="n">
        <x:f>O18-K18-L18-M18</x:f>
        <x:v>201</x:v>
      </x:c>
      <x:c r="O18" s="34" t="n">
        <x:v>29605</x:v>
      </x:c>
      <x:c r="P18" s="34" t="n">
        <x:v>30028</x:v>
      </x:c>
      <x:c r="Q18" s="34" t="n">
        <x:v>30021</x:v>
      </x:c>
      <x:c r="R18" s="34" t="n">
        <x:f>Q18-O18</x:f>
        <x:v>416</x:v>
      </x:c>
      <x:c r="S18" s="36" t="n">
        <x:f>K18/O18</x:f>
        <x:v>0.5475764229015369</x:v>
      </x:c>
      <x:c r="T18" s="36" t="n">
        <x:f>L18/O18</x:f>
        <x:v>0.4368856612058774</x:v>
      </x:c>
      <x:c r="U18" t="str">
        <x:f>IF(K18&gt;L18,"Adeleke","APC")</x:f>
        <x:v>Adeleke</x:v>
      </x:c>
      <x:c r="V18" s="34" t="n">
        <x:f>ABS(K18-L18)</x:f>
        <x:v>3277</x:v>
      </x:c>
      <x:c r="W18" s="34" t="n">
        <x:f>K18-B18</x:f>
        <x:v>3175</x:v>
      </x:c>
      <x:c r="X18" s="34" t="n">
        <x:f>L18-C18</x:f>
        <x:v>1771</x:v>
      </x:c>
      <x:c r="Y18" s="38" t="n">
        <x:f>(S18-G18)*100</x:f>
        <x:v>1.7053876914234212</x:v>
      </x:c>
      <x:c r="Z18" s="38" t="n">
        <x:f>(T18-H18)*100</x:f>
        <x:v>-1.7411913269134827</x:v>
      </x:c>
      <x:c r="AA18" t="str">
        <x:f>IF(I18=U18,"No","Yes")</x:f>
        <x:v>No</x:v>
      </x:c>
      <x:c r="AB18" s="36" t="n">
        <x:f>V18/O18</x:f>
        <x:v>0.11069076169565951</x:v>
      </x:c>
      <x:c r="AC18" s="21" t="str"/>
    </x:row>
    <x:row r="19">
      <x:c r="A19" t="str">
        <x:v>Ilesa East</x:v>
      </x:c>
      <x:c r="B19" s="34" t="n">
        <x:v>10969</x:v>
      </x:c>
      <x:c r="C19" s="34" t="n">
        <x:v>13452</x:v>
      </x:c>
      <x:c r="D19" s="34" t="n">
        <x:v>921</x:v>
      </x:c>
      <x:c r="E19" s="34" t="n">
        <x:v>25342</x:v>
      </x:c>
      <x:c r="F19" s="36" t="n">
        <x:v>0.356</x:v>
      </x:c>
      <x:c r="G19" s="36" t="n">
        <x:f>B19/E19</x:f>
        <x:v>0.4328387656854234</x:v>
      </x:c>
      <x:c r="H19" s="36" t="n">
        <x:f>C19/E19</x:f>
        <x:v>0.5308184042301318</x:v>
      </x:c>
      <x:c r="I19" t="str">
        <x:f>IF(B19&gt;C19,"Adeleke","APC")</x:f>
        <x:v>APC</x:v>
      </x:c>
      <x:c r="J19" s="34" t="n">
        <x:f>ABS(B19-C19)</x:f>
        <x:v>2483</x:v>
      </x:c>
      <x:c r="K19" s="34" t="n">
        <x:v>12280</x:v>
      </x:c>
      <x:c r="L19" s="34" t="n">
        <x:v>16208</x:v>
      </x:c>
      <x:c r="M19" s="34" t="n">
        <x:v>504</x:v>
      </x:c>
      <x:c r="N19" s="34" t="n">
        <x:f>O19-K19-L19-M19</x:f>
        <x:v>468</x:v>
      </x:c>
      <x:c r="O19" s="34" t="n">
        <x:v>29460</x:v>
      </x:c>
      <x:c r="P19" s="34" t="n">
        <x:v>30371</x:v>
      </x:c>
      <x:c r="Q19" s="34" t="n">
        <x:v>30209</x:v>
      </x:c>
      <x:c r="R19" s="34" t="n">
        <x:f>Q19-O19</x:f>
        <x:v>749</x:v>
      </x:c>
      <x:c r="S19" s="36" t="n">
        <x:f>K19/O19</x:f>
        <x:v>0.41683638832315</x:v>
      </x:c>
      <x:c r="T19" s="36" t="n">
        <x:f>L19/O19</x:f>
        <x:v>0.5501697216564834</x:v>
      </x:c>
      <x:c r="U19" t="str">
        <x:f>IF(K19&gt;L19,"Adeleke","APC")</x:f>
        <x:v>APC</x:v>
      </x:c>
      <x:c r="V19" s="34" t="n">
        <x:f>ABS(K19-L19)</x:f>
        <x:v>3928</x:v>
      </x:c>
      <x:c r="W19" s="34" t="n">
        <x:f>K19-B19</x:f>
        <x:v>1311</x:v>
      </x:c>
      <x:c r="X19" s="34" t="n">
        <x:f>L19-C19</x:f>
        <x:v>2756</x:v>
      </x:c>
      <x:c r="Y19" s="38" t="n">
        <x:f>(S19-G19)*100</x:f>
        <x:v>-1.600237736227339</x:v>
      </x:c>
      <x:c r="Z19" s="38" t="n">
        <x:f>(T19-H19)*100</x:f>
        <x:v>1.9351317426351544</x:v>
      </x:c>
      <x:c r="AA19" t="str">
        <x:f>IF(I19=U19,"No","Yes")</x:f>
        <x:v>No</x:v>
      </x:c>
      <x:c r="AB19" s="36" t="n">
        <x:f>V19/O19</x:f>
        <x:v>0.13333333333333333</x:v>
      </x:c>
      <x:c r="AC19" s="21" t="str"/>
    </x:row>
    <x:row r="20">
      <x:c r="A20" t="str">
        <x:v>Ilesa West</x:v>
      </x:c>
      <x:c r="B20" s="34" t="n">
        <x:v>13769</x:v>
      </x:c>
      <x:c r="C20" s="34" t="n">
        <x:v>10777</x:v>
      </x:c>
      <x:c r="D20" s="34" t="n">
        <x:v>857</x:v>
      </x:c>
      <x:c r="E20" s="34" t="n">
        <x:v>25403</x:v>
      </x:c>
      <x:c r="F20" s="36" t="n">
        <x:v>0.3702</x:v>
      </x:c>
      <x:c r="G20" s="36" t="n">
        <x:f>B20/E20</x:f>
        <x:v>0.5420225957564068</x:v>
      </x:c>
      <x:c r="H20" s="36" t="n">
        <x:f>C20/E20</x:f>
        <x:v>0.42424123135062786</x:v>
      </x:c>
      <x:c r="I20" t="str">
        <x:f>IF(B20&gt;C20,"Adeleke","APC")</x:f>
        <x:v>Adeleke</x:v>
      </x:c>
      <x:c r="J20" s="34" t="n">
        <x:f>ABS(B20-C20)</x:f>
        <x:v>2992</x:v>
      </x:c>
      <x:c r="K20" s="34" t="n">
        <x:v>16196</x:v>
      </x:c>
      <x:c r="L20" s="34" t="n">
        <x:v>12756</x:v>
      </x:c>
      <x:c r="M20" s="34" t="n">
        <x:v>673</x:v>
      </x:c>
      <x:c r="N20" s="34" t="n">
        <x:f>O20-K20-L20-M20</x:f>
        <x:v>619</x:v>
      </x:c>
      <x:c r="O20" s="34" t="n">
        <x:v>30244</x:v>
      </x:c>
      <x:c r="P20" s="34" t="n">
        <x:v>31333</x:v>
      </x:c>
      <x:c r="Q20" s="34" t="n">
        <x:v>31234</x:v>
      </x:c>
      <x:c r="R20" s="34" t="n">
        <x:f>Q20-O20</x:f>
        <x:v>990</x:v>
      </x:c>
      <x:c r="S20" s="36" t="n">
        <x:f>K20/O20</x:f>
        <x:v>0.5355111757704007</x:v>
      </x:c>
      <x:c r="T20" s="36" t="n">
        <x:f>L20/O20</x:f>
        <x:v>0.4217696071948155</x:v>
      </x:c>
      <x:c r="U20" t="str">
        <x:f>IF(K20&gt;L20,"Adeleke","APC")</x:f>
        <x:v>Adeleke</x:v>
      </x:c>
      <x:c r="V20" s="34" t="n">
        <x:f>ABS(K20-L20)</x:f>
        <x:v>3440</x:v>
      </x:c>
      <x:c r="W20" s="34" t="n">
        <x:f>K20-B20</x:f>
        <x:v>2427</x:v>
      </x:c>
      <x:c r="X20" s="34" t="n">
        <x:f>L20-C20</x:f>
        <x:v>1979</x:v>
      </x:c>
      <x:c r="Y20" s="38" t="n">
        <x:f>(S20-G20)*100</x:f>
        <x:v>-0.6511419986006017</x:v>
      </x:c>
      <x:c r="Z20" s="38" t="n">
        <x:f>(T20-H20)*100</x:f>
        <x:v>-0.24716241558123686</x:v>
      </x:c>
      <x:c r="AA20" t="str">
        <x:f>IF(I20=U20,"No","Yes")</x:f>
        <x:v>No</x:v>
      </x:c>
      <x:c r="AB20" s="36" t="n">
        <x:f>V20/O20</x:f>
        <x:v>0.11374156857558523</x:v>
      </x:c>
      <x:c r="AC20" s="21" t="str"/>
    </x:row>
    <x:row r="21">
      <x:c r="A21" t="str">
        <x:v>Irepodun</x:v>
      </x:c>
      <x:c r="B21" s="34" t="n">
        <x:v>14369</x:v>
      </x:c>
      <x:c r="C21" s="34" t="n">
        <x:v>12122</x:v>
      </x:c>
      <x:c r="D21" s="34" t="n">
        <x:v>2541</x:v>
      </x:c>
      <x:c r="E21" s="34" t="n">
        <x:v>29032</x:v>
      </x:c>
      <x:c r="F21" s="36" t="n">
        <x:v>0.5125</x:v>
      </x:c>
      <x:c r="G21" s="36" t="n">
        <x:f>B21/E21</x:f>
        <x:v>0.4949366216588592</x:v>
      </x:c>
      <x:c r="H21" s="36" t="n">
        <x:f>C21/E21</x:f>
        <x:v>0.4175392670157068</x:v>
      </x:c>
      <x:c r="I21" t="str">
        <x:f>IF(B21&gt;C21,"Adeleke","APC")</x:f>
        <x:v>Adeleke</x:v>
      </x:c>
      <x:c r="J21" s="34" t="n">
        <x:f>ABS(B21-C21)</x:f>
        <x:v>2247</x:v>
      </x:c>
      <x:c r="K21" s="34" t="n">
        <x:v>14504</x:v>
      </x:c>
      <x:c r="L21" s="34" t="n">
        <x:v>15713</x:v>
      </x:c>
      <x:c r="M21" s="34" t="n">
        <x:v>249</x:v>
      </x:c>
      <x:c r="N21" s="34" t="n">
        <x:f>O21-K21-L21-M21</x:f>
        <x:v>251</x:v>
      </x:c>
      <x:c r="O21" s="34" t="n">
        <x:v>30717</x:v>
      </x:c>
      <x:c r="P21" s="34" t="n">
        <x:v>31291</x:v>
      </x:c>
      <x:c r="Q21" s="34" t="n">
        <x:v>31282</x:v>
      </x:c>
      <x:c r="R21" s="34" t="n">
        <x:f>Q21-O21</x:f>
        <x:v>565</x:v>
      </x:c>
      <x:c r="S21" s="36" t="n">
        <x:f>K21/O21</x:f>
        <x:v>0.4721815281440245</x:v>
      </x:c>
      <x:c r="T21" s="36" t="n">
        <x:f>L21/O21</x:f>
        <x:v>0.5115408405768792</x:v>
      </x:c>
      <x:c r="U21" t="str">
        <x:f>IF(K21&gt;L21,"Adeleke","APC")</x:f>
        <x:v>APC</x:v>
      </x:c>
      <x:c r="V21" s="34" t="n">
        <x:f>ABS(K21-L21)</x:f>
        <x:v>1209</x:v>
      </x:c>
      <x:c r="W21" s="34" t="n">
        <x:f>K21-B21</x:f>
        <x:v>135</x:v>
      </x:c>
      <x:c r="X21" s="34" t="n">
        <x:f>L21-C21</x:f>
        <x:v>3591</x:v>
      </x:c>
      <x:c r="Y21" s="38" t="n">
        <x:f>(S21-G21)*100</x:f>
        <x:v>-2.2755093514834734</x:v>
      </x:c>
      <x:c r="Z21" s="38" t="n">
        <x:f>(T21-H21)*100</x:f>
        <x:v>9.400157356117239</x:v>
      </x:c>
      <x:c r="AA21" t="str">
        <x:f>IF(I21=U21,"No","Yes")</x:f>
        <x:v>Yes</x:v>
      </x:c>
      <x:c r="AB21" s="36" t="n">
        <x:f>V21/O21</x:f>
        <x:v>0.03935931243285477</x:v>
      </x:c>
      <x:c r="AC21" s="21" t="str"/>
    </x:row>
    <x:row r="22">
      <x:c r="A22" t="str">
        <x:v>Irewole</x:v>
      </x:c>
      <x:c r="B22" s="34" t="n">
        <x:v>14216</x:v>
      </x:c>
      <x:c r="C22" s="34" t="n">
        <x:v>18198</x:v>
      </x:c>
      <x:c r="D22" s="34" t="n">
        <x:v>901</x:v>
      </x:c>
      <x:c r="E22" s="34" t="n">
        <x:v>33315</x:v>
      </x:c>
      <x:c r="F22" s="36" t="n">
        <x:v>0.4597</x:v>
      </x:c>
      <x:c r="G22" s="36" t="n">
        <x:f>B22/E22</x:f>
        <x:v>0.42671469308119464</x:v>
      </x:c>
      <x:c r="H22" s="36" t="n">
        <x:f>C22/E22</x:f>
        <x:v>0.5462404322377308</x:v>
      </x:c>
      <x:c r="I22" t="str">
        <x:f>IF(B22&gt;C22,"Adeleke","APC")</x:f>
        <x:v>APC</x:v>
      </x:c>
      <x:c r="J22" s="34" t="n">
        <x:f>ABS(B22-C22)</x:f>
        <x:v>3982</x:v>
      </x:c>
      <x:c r="K22" s="34" t="n">
        <x:v>10934</x:v>
      </x:c>
      <x:c r="L22" s="34" t="n">
        <x:v>29972</x:v>
      </x:c>
      <x:c r="M22" s="34" t="n">
        <x:v>275</x:v>
      </x:c>
      <x:c r="N22" s="34" t="n">
        <x:f>O22-K22-L22-M22</x:f>
        <x:v>394</x:v>
      </x:c>
      <x:c r="O22" s="34" t="n">
        <x:v>41575</x:v>
      </x:c>
      <x:c r="P22" s="34" t="n">
        <x:v>42858</x:v>
      </x:c>
      <x:c r="Q22" s="34" t="n">
        <x:v>42824</x:v>
      </x:c>
      <x:c r="R22" s="34" t="n">
        <x:f>Q22-O22</x:f>
        <x:v>1249</x:v>
      </x:c>
      <x:c r="S22" s="36" t="n">
        <x:f>K22/O22</x:f>
        <x:v>0.2629945880938064</x:v>
      </x:c>
      <x:c r="T22" s="36" t="n">
        <x:f>L22/O22</x:f>
        <x:v>0.7209140108238123</x:v>
      </x:c>
      <x:c r="U22" t="str">
        <x:f>IF(K22&gt;L22,"Adeleke","APC")</x:f>
        <x:v>APC</x:v>
      </x:c>
      <x:c r="V22" s="34" t="n">
        <x:f>ABS(K22-L22)</x:f>
        <x:v>19038</x:v>
      </x:c>
      <x:c r="W22" s="34" t="n">
        <x:f>K22-B22</x:f>
        <x:v>-3282</x:v>
      </x:c>
      <x:c r="X22" s="34" t="n">
        <x:f>L22-C22</x:f>
        <x:v>11774</x:v>
      </x:c>
      <x:c r="Y22" s="38" t="n">
        <x:f>(S22-G22)*100</x:f>
        <x:v>-16.372010498738828</x:v>
      </x:c>
      <x:c r="Z22" s="38" t="n">
        <x:f>(T22-H22)*100</x:f>
        <x:v>17.467357858608157</x:v>
      </x:c>
      <x:c r="AA22" t="str">
        <x:f>IF(I22=U22,"No","Yes")</x:f>
        <x:v>No</x:v>
      </x:c>
      <x:c r="AB22" s="36" t="n">
        <x:f>V22/O22</x:f>
        <x:v>0.457919422730006</x:v>
      </x:c>
      <x:c r="AC22" s="21" t="str">
        <x:v>2026 Irewole: retained 41,575 valid / 42,824 cast after arithmetic validation of Channels' 15 party totals and 1,249 rejected ballots; Channels live text contains a 100-vote transcription inconsistency.</x:v>
      </x:c>
    </x:row>
    <x:row r="23">
      <x:c r="A23" t="str">
        <x:v>Isokan</x:v>
      </x:c>
      <x:c r="B23" s="34" t="n">
        <x:v>10777</x:v>
      </x:c>
      <x:c r="C23" s="34" t="n">
        <x:v>10833</x:v>
      </x:c>
      <x:c r="D23" s="34" t="n">
        <x:v>743</x:v>
      </x:c>
      <x:c r="E23" s="34" t="n">
        <x:v>22353</x:v>
      </x:c>
      <x:c r="F23" s="36" t="n">
        <x:v>0.4314</x:v>
      </x:c>
      <x:c r="G23" s="36" t="n">
        <x:f>B23/E23</x:f>
        <x:v>0.48212767861137207</x:v>
      </x:c>
      <x:c r="H23" s="36" t="n">
        <x:f>C23/E23</x:f>
        <x:v>0.48463293517648637</x:v>
      </x:c>
      <x:c r="I23" t="str">
        <x:f>IF(B23&gt;C23,"Adeleke","APC")</x:f>
        <x:v>APC</x:v>
      </x:c>
      <x:c r="J23" s="34" t="n">
        <x:f>ABS(B23-C23)</x:f>
        <x:v>56</x:v>
      </x:c>
      <x:c r="K23" s="34" t="n">
        <x:v>13765</x:v>
      </x:c>
      <x:c r="L23" s="34" t="n">
        <x:v>14063</x:v>
      </x:c>
      <x:c r="M23" s="34" t="n">
        <x:v>384</x:v>
      </x:c>
      <x:c r="N23" s="34" t="n">
        <x:f>O23-K23-L23-M23</x:f>
        <x:v>504</x:v>
      </x:c>
      <x:c r="O23" s="34" t="n">
        <x:v>28716</x:v>
      </x:c>
      <x:c r="P23" s="34" t="n">
        <x:v>29421</x:v>
      </x:c>
      <x:c r="Q23" s="34" t="n">
        <x:v>29405</x:v>
      </x:c>
      <x:c r="R23" s="34" t="n">
        <x:f>Q23-O23</x:f>
        <x:v>689</x:v>
      </x:c>
      <x:c r="S23" s="36" t="n">
        <x:f>K23/O23</x:f>
        <x:v>0.47934949157264245</x:v>
      </x:c>
      <x:c r="T23" s="36" t="n">
        <x:f>L23/O23</x:f>
        <x:v>0.4897269814737429</x:v>
      </x:c>
      <x:c r="U23" t="str">
        <x:f>IF(K23&gt;L23,"Adeleke","APC")</x:f>
        <x:v>APC</x:v>
      </x:c>
      <x:c r="V23" s="34" t="n">
        <x:f>ABS(K23-L23)</x:f>
        <x:v>298</x:v>
      </x:c>
      <x:c r="W23" s="34" t="n">
        <x:f>K23-B23</x:f>
        <x:v>2988</x:v>
      </x:c>
      <x:c r="X23" s="34" t="n">
        <x:f>L23-C23</x:f>
        <x:v>3230</x:v>
      </x:c>
      <x:c r="Y23" s="38" t="n">
        <x:f>(S23-G23)*100</x:f>
        <x:v>-0.2778187038729618</x:v>
      </x:c>
      <x:c r="Z23" s="38" t="n">
        <x:f>(T23-H23)*100</x:f>
        <x:v>0.5094046297256516</x:v>
      </x:c>
      <x:c r="AA23" t="str">
        <x:f>IF(I23=U23,"No","Yes")</x:f>
        <x:v>No</x:v>
      </x:c>
      <x:c r="AB23" s="36" t="n">
        <x:f>V23/O23</x:f>
        <x:v>0.010377489901100432</x:v>
      </x:c>
      <x:c r="AC23" s="21" t="str">
        <x:v>2026 Isokan valid votes corrected 28,715 → 28,716. Channels party totals sum to 28,716; with 689 rejected ballots this reconciles to 29,405 votes cast and the statewide valid-vote total.</x:v>
      </x:c>
    </x:row>
    <x:row r="24">
      <x:c r="A24" t="str">
        <x:v>Iwo</x:v>
      </x:c>
      <x:c r="B24" s="34" t="n">
        <x:v>16914</x:v>
      </x:c>
      <x:c r="C24" s="34" t="n">
        <x:v>17421</x:v>
      </x:c>
      <x:c r="D24" s="34" t="n">
        <x:v>1299</x:v>
      </x:c>
      <x:c r="E24" s="34" t="n">
        <x:v>35634</x:v>
      </x:c>
      <x:c r="F24" s="36" t="n">
        <x:v>0.4057</x:v>
      </x:c>
      <x:c r="G24" s="36" t="n">
        <x:f>B24/E24</x:f>
        <x:v>0.47465903350732447</x:v>
      </x:c>
      <x:c r="H24" s="36" t="n">
        <x:f>C24/E24</x:f>
        <x:v>0.4888870180165011</x:v>
      </x:c>
      <x:c r="I24" t="str">
        <x:f>IF(B24&gt;C24,"Adeleke","APC")</x:f>
        <x:v>APC</x:v>
      </x:c>
      <x:c r="J24" s="34" t="n">
        <x:f>ABS(B24-C24)</x:f>
        <x:v>507</x:v>
      </x:c>
      <x:c r="K24" s="34" t="n">
        <x:v>27085</x:v>
      </x:c>
      <x:c r="L24" s="34" t="n">
        <x:v>19660</x:v>
      </x:c>
      <x:c r="M24" s="34" t="n">
        <x:v>588</x:v>
      </x:c>
      <x:c r="N24" s="34" t="n">
        <x:f>O24-K24-L24-M24</x:f>
        <x:v>694</x:v>
      </x:c>
      <x:c r="O24" s="34" t="n">
        <x:v>48027</x:v>
      </x:c>
      <x:c r="P24" s="34" t="n">
        <x:v>48985</x:v>
      </x:c>
      <x:c r="Q24" s="34" t="n">
        <x:v>48953</x:v>
      </x:c>
      <x:c r="R24" s="34" t="n">
        <x:f>Q24-O24</x:f>
        <x:v>926</x:v>
      </x:c>
      <x:c r="S24" s="36" t="n">
        <x:f>K24/O24</x:f>
        <x:v>0.5639536094280301</x:v>
      </x:c>
      <x:c r="T24" s="36" t="n">
        <x:f>L24/O24</x:f>
        <x:v>0.40935307223020384</x:v>
      </x:c>
      <x:c r="U24" t="str">
        <x:f>IF(K24&gt;L24,"Adeleke","APC")</x:f>
        <x:v>Adeleke</x:v>
      </x:c>
      <x:c r="V24" s="34" t="n">
        <x:f>ABS(K24-L24)</x:f>
        <x:v>7425</x:v>
      </x:c>
      <x:c r="W24" s="34" t="n">
        <x:f>K24-B24</x:f>
        <x:v>10171</x:v>
      </x:c>
      <x:c r="X24" s="34" t="n">
        <x:f>L24-C24</x:f>
        <x:v>2239</x:v>
      </x:c>
      <x:c r="Y24" s="38" t="n">
        <x:f>(S24-G24)*100</x:f>
        <x:v>8.92945759207056</x:v>
      </x:c>
      <x:c r="Z24" s="38" t="n">
        <x:f>(T24-H24)*100</x:f>
        <x:v>-7.953394578629725</x:v>
      </x:c>
      <x:c r="AA24" t="str">
        <x:f>IF(I24=U24,"No","Yes")</x:f>
        <x:v>Yes</x:v>
      </x:c>
      <x:c r="AB24" s="36" t="n">
        <x:f>V24/O24</x:f>
        <x:v>0.1546005371978262</x:v>
      </x:c>
      <x:c r="AC24" s="21" t="str"/>
    </x:row>
    <x:row r="25">
      <x:c r="A25" t="str">
        <x:v>Obokun</x:v>
      </x:c>
      <x:c r="B25" s="34" t="n">
        <x:v>13575</x:v>
      </x:c>
      <x:c r="C25" s="34" t="n">
        <x:v>9727</x:v>
      </x:c>
      <x:c r="D25" s="34" t="n">
        <x:v>511</x:v>
      </x:c>
      <x:c r="E25" s="34" t="n">
        <x:v>23813</x:v>
      </x:c>
      <x:c r="F25" s="36" t="n">
        <x:v>0.4581</x:v>
      </x:c>
      <x:c r="G25" s="36" t="n">
        <x:f>B25/E25</x:f>
        <x:v>0.5700667702515433</x:v>
      </x:c>
      <x:c r="H25" s="36" t="n">
        <x:f>C25/E25</x:f>
        <x:v>0.4084743627430395</x:v>
      </x:c>
      <x:c r="I25" t="str">
        <x:f>IF(B25&gt;C25,"Adeleke","APC")</x:f>
        <x:v>Adeleke</x:v>
      </x:c>
      <x:c r="J25" s="34" t="n">
        <x:f>ABS(B25-C25)</x:f>
        <x:v>3848</x:v>
      </x:c>
      <x:c r="K25" s="34" t="n">
        <x:v>12023</x:v>
      </x:c>
      <x:c r="L25" s="34" t="n">
        <x:v>16120</x:v>
      </x:c>
      <x:c r="M25" s="34" t="n">
        <x:v>205</x:v>
      </x:c>
      <x:c r="N25" s="34" t="n">
        <x:f>O25-K25-L25-M25</x:f>
        <x:v>339</x:v>
      </x:c>
      <x:c r="O25" s="34" t="n">
        <x:v>28687</x:v>
      </x:c>
      <x:c r="P25" s="34" t="n">
        <x:v>29183</x:v>
      </x:c>
      <x:c r="Q25" s="34" t="n">
        <x:v>29147</x:v>
      </x:c>
      <x:c r="R25" s="34" t="n">
        <x:f>Q25-O25</x:f>
        <x:v>460</x:v>
      </x:c>
      <x:c r="S25" s="36" t="n">
        <x:f>K25/O25</x:f>
        <x:v>0.41910970125840974</x:v>
      </x:c>
      <x:c r="T25" s="36" t="n">
        <x:f>L25/O25</x:f>
        <x:v>0.5619270052637083</x:v>
      </x:c>
      <x:c r="U25" t="str">
        <x:f>IF(K25&gt;L25,"Adeleke","APC")</x:f>
        <x:v>APC</x:v>
      </x:c>
      <x:c r="V25" s="34" t="n">
        <x:f>ABS(K25-L25)</x:f>
        <x:v>4097</x:v>
      </x:c>
      <x:c r="W25" s="34" t="n">
        <x:f>K25-B25</x:f>
        <x:v>-1552</x:v>
      </x:c>
      <x:c r="X25" s="34" t="n">
        <x:f>L25-C25</x:f>
        <x:v>6393</x:v>
      </x:c>
      <x:c r="Y25" s="38" t="n">
        <x:f>(S25-G25)*100</x:f>
        <x:v>-15.095706899313354</x:v>
      </x:c>
      <x:c r="Z25" s="38" t="n">
        <x:f>(T25-H25)*100</x:f>
        <x:v>15.345264252066881</x:v>
      </x:c>
      <x:c r="AA25" t="str">
        <x:f>IF(I25=U25,"No","Yes")</x:f>
        <x:v>Yes</x:v>
      </x:c>
      <x:c r="AB25" s="36" t="n">
        <x:f>V25/O25</x:f>
        <x:v>0.14281730400529857</x:v>
      </x:c>
      <x:c r="AC25" s="21" t="str">
        <x:v>Corrected valid votes to 23,813. Some secondary tables misplace 24,399 (votes cast) as valid votes.</x:v>
      </x:c>
    </x:row>
    <x:row r="26">
      <x:c r="A26" t="str">
        <x:v>Odo Otin</x:v>
      </x:c>
      <x:c r="B26" s="34" t="n">
        <x:v>14003</x:v>
      </x:c>
      <x:c r="C26" s="34" t="n">
        <x:v>13482</x:v>
      </x:c>
      <x:c r="D26" s="34" t="n">
        <x:v>700</x:v>
      </x:c>
      <x:c r="E26" s="34" t="n">
        <x:v>28185</x:v>
      </x:c>
      <x:c r="F26" s="36" t="n">
        <x:v>0.4278</x:v>
      </x:c>
      <x:c r="G26" s="36" t="n">
        <x:f>B26/E26</x:f>
        <x:v>0.4968245520667022</x:v>
      </x:c>
      <x:c r="H26" s="36" t="n">
        <x:f>C26/E26</x:f>
        <x:v>0.47833954230973924</x:v>
      </x:c>
      <x:c r="I26" t="str">
        <x:f>IF(B26&gt;C26,"Adeleke","APC")</x:f>
        <x:v>Adeleke</x:v>
      </x:c>
      <x:c r="J26" s="34" t="n">
        <x:f>ABS(B26-C26)</x:f>
        <x:v>521</x:v>
      </x:c>
      <x:c r="K26" s="34" t="n">
        <x:v>18003</x:v>
      </x:c>
      <x:c r="L26" s="34" t="n">
        <x:v>15435</x:v>
      </x:c>
      <x:c r="M26" s="34" t="n">
        <x:v>377</x:v>
      </x:c>
      <x:c r="N26" s="34" t="n">
        <x:f>O26-K26-L26-M26</x:f>
        <x:v>211</x:v>
      </x:c>
      <x:c r="O26" s="34" t="n">
        <x:v>34026</x:v>
      </x:c>
      <x:c r="P26" s="34" t="n">
        <x:v>34482</x:v>
      </x:c>
      <x:c r="Q26" s="34" t="n">
        <x:v>34456</x:v>
      </x:c>
      <x:c r="R26" s="34" t="n">
        <x:f>Q26-O26</x:f>
        <x:v>430</x:v>
      </x:c>
      <x:c r="S26" s="36" t="n">
        <x:f>K26/O26</x:f>
        <x:v>0.529095397637101</x:v>
      </x:c>
      <x:c r="T26" s="36" t="n">
        <x:f>L26/O26</x:f>
        <x:v>0.4536236995238935</x:v>
      </x:c>
      <x:c r="U26" t="str">
        <x:f>IF(K26&gt;L26,"Adeleke","APC")</x:f>
        <x:v>Adeleke</x:v>
      </x:c>
      <x:c r="V26" s="34" t="n">
        <x:f>ABS(K26-L26)</x:f>
        <x:v>2568</x:v>
      </x:c>
      <x:c r="W26" s="34" t="n">
        <x:f>K26-B26</x:f>
        <x:v>4000</x:v>
      </x:c>
      <x:c r="X26" s="34" t="n">
        <x:f>L26-C26</x:f>
        <x:v>1953</x:v>
      </x:c>
      <x:c r="Y26" s="38" t="n">
        <x:f>(S26-G26)*100</x:f>
        <x:v>3.227084557039883</x:v>
      </x:c>
      <x:c r="Z26" s="38" t="n">
        <x:f>(T26-H26)*100</x:f>
        <x:v>-2.4715842785845767</x:v>
      </x:c>
      <x:c r="AA26" t="str">
        <x:f>IF(I26=U26,"No","Yes")</x:f>
        <x:v>No</x:v>
      </x:c>
      <x:c r="AB26" s="36" t="n">
        <x:f>V26/O26</x:f>
        <x:v>0.07547169811320754</x:v>
      </x:c>
      <x:c r="AC26" s="21" t="str"/>
    </x:row>
    <x:row r="27">
      <x:c r="A27" t="str">
        <x:v>Ola Oluwa</x:v>
      </x:c>
      <x:c r="B27" s="34" t="n">
        <x:v>7205</x:v>
      </x:c>
      <x:c r="C27" s="34" t="n">
        <x:v>9123</x:v>
      </x:c>
      <x:c r="D27" s="34" t="n">
        <x:v>409</x:v>
      </x:c>
      <x:c r="E27" s="34" t="n">
        <x:v>16737</x:v>
      </x:c>
      <x:c r="F27" s="36" t="n">
        <x:v>0.4628</x:v>
      </x:c>
      <x:c r="G27" s="36" t="n">
        <x:f>B27/E27</x:f>
        <x:v>0.43048336021987216</x:v>
      </x:c>
      <x:c r="H27" s="36" t="n">
        <x:f>C27/E27</x:f>
        <x:v>0.5450797633984585</x:v>
      </x:c>
      <x:c r="I27" t="str">
        <x:f>IF(B27&gt;C27,"Adeleke","APC")</x:f>
        <x:v>APC</x:v>
      </x:c>
      <x:c r="J27" s="34" t="n">
        <x:f>ABS(B27-C27)</x:f>
        <x:v>1918</x:v>
      </x:c>
      <x:c r="K27" s="34" t="n">
        <x:v>10063</x:v>
      </x:c>
      <x:c r="L27" s="34" t="n">
        <x:v>10782</x:v>
      </x:c>
      <x:c r="M27" s="34" t="n">
        <x:v>213</x:v>
      </x:c>
      <x:c r="N27" s="34" t="n">
        <x:f>O27-K27-L27-M27</x:f>
        <x:v>170</x:v>
      </x:c>
      <x:c r="O27" s="34" t="n">
        <x:v>21228</x:v>
      </x:c>
      <x:c r="P27" s="34" t="n">
        <x:v>21599</x:v>
      </x:c>
      <x:c r="Q27" s="34" t="n">
        <x:v>21595</x:v>
      </x:c>
      <x:c r="R27" s="34" t="n">
        <x:f>Q27-O27</x:f>
        <x:v>367</x:v>
      </x:c>
      <x:c r="S27" s="36" t="n">
        <x:f>K27/O27</x:f>
        <x:v>0.47404371584699456</x:v>
      </x:c>
      <x:c r="T27" s="36" t="n">
        <x:f>L27/O27</x:f>
        <x:v>0.5079140757490107</x:v>
      </x:c>
      <x:c r="U27" t="str">
        <x:f>IF(K27&gt;L27,"Adeleke","APC")</x:f>
        <x:v>APC</x:v>
      </x:c>
      <x:c r="V27" s="34" t="n">
        <x:f>ABS(K27-L27)</x:f>
        <x:v>719</x:v>
      </x:c>
      <x:c r="W27" s="34" t="n">
        <x:f>K27-B27</x:f>
        <x:v>2858</x:v>
      </x:c>
      <x:c r="X27" s="34" t="n">
        <x:f>L27-C27</x:f>
        <x:v>1659</x:v>
      </x:c>
      <x:c r="Y27" s="38" t="n">
        <x:f>(S27-G27)*100</x:f>
        <x:v>4.356035562712241</x:v>
      </x:c>
      <x:c r="Z27" s="38" t="n">
        <x:f>(T27-H27)*100</x:f>
        <x:v>-3.716568764944783</x:v>
      </x:c>
      <x:c r="AA27" t="str">
        <x:f>IF(I27=U27,"No","Yes")</x:f>
        <x:v>No</x:v>
      </x:c>
      <x:c r="AB27" s="36" t="n">
        <x:f>V27/O27</x:f>
        <x:v>0.03387035990201621</x:v>
      </x:c>
      <x:c r="AC27" s="21" t="str"/>
    </x:row>
    <x:row r="28">
      <x:c r="A28" t="str">
        <x:v>Olorunda</x:v>
      </x:c>
      <x:c r="B28" s="34" t="n">
        <x:v>21350</x:v>
      </x:c>
      <x:c r="C28" s="34" t="n">
        <x:v>18709</x:v>
      </x:c>
      <x:c r="D28" s="34" t="n">
        <x:v>1128</x:v>
      </x:c>
      <x:c r="E28" s="34" t="n">
        <x:v>41187</x:v>
      </x:c>
      <x:c r="F28" s="36" t="n">
        <x:v>0.4004</x:v>
      </x:c>
      <x:c r="G28" s="36" t="n">
        <x:f>B28/E28</x:f>
        <x:v>0.5183674460387987</x:v>
      </x:c>
      <x:c r="H28" s="36" t="n">
        <x:f>C28/E28</x:f>
        <x:v>0.4542452715662709</x:v>
      </x:c>
      <x:c r="I28" t="str">
        <x:f>IF(B28&gt;C28,"Adeleke","APC")</x:f>
        <x:v>Adeleke</x:v>
      </x:c>
      <x:c r="J28" s="34" t="n">
        <x:f>ABS(B28-C28)</x:f>
        <x:v>2641</x:v>
      </x:c>
      <x:c r="K28" s="34" t="n">
        <x:v>23514</x:v>
      </x:c>
      <x:c r="L28" s="34" t="n">
        <x:v>24671</x:v>
      </x:c>
      <x:c r="M28" s="34" t="n">
        <x:v>666</x:v>
      </x:c>
      <x:c r="N28" s="34" t="n">
        <x:f>O28-K28-L28-M28</x:f>
        <x:v>607</x:v>
      </x:c>
      <x:c r="O28" s="34" t="n">
        <x:v>49458</x:v>
      </x:c>
      <x:c r="P28" s="34" t="n">
        <x:v>51172</x:v>
      </x:c>
      <x:c r="Q28" s="34" t="n">
        <x:v>50793</x:v>
      </x:c>
      <x:c r="R28" s="34" t="n">
        <x:f>Q28-O28</x:f>
        <x:v>1335</x:v>
      </x:c>
      <x:c r="S28" s="36" t="n">
        <x:f>K28/O28</x:f>
        <x:v>0.4754337013223341</x:v>
      </x:c>
      <x:c r="T28" s="36" t="n">
        <x:f>L28/O28</x:f>
        <x:v>0.4988272877997493</x:v>
      </x:c>
      <x:c r="U28" t="str">
        <x:f>IF(K28&gt;L28,"Adeleke","APC")</x:f>
        <x:v>APC</x:v>
      </x:c>
      <x:c r="V28" s="34" t="n">
        <x:f>ABS(K28-L28)</x:f>
        <x:v>1157</x:v>
      </x:c>
      <x:c r="W28" s="34" t="n">
        <x:f>K28-B28</x:f>
        <x:v>2164</x:v>
      </x:c>
      <x:c r="X28" s="34" t="n">
        <x:f>L28-C28</x:f>
        <x:v>5962</x:v>
      </x:c>
      <x:c r="Y28" s="38" t="n">
        <x:f>(S28-G28)*100</x:f>
        <x:v>-4.293374471646461</x:v>
      </x:c>
      <x:c r="Z28" s="38" t="n">
        <x:f>(T28-H28)*100</x:f>
        <x:v>4.4582016233478345</x:v>
      </x:c>
      <x:c r="AA28" t="str">
        <x:f>IF(I28=U28,"No","Yes")</x:f>
        <x:v>Yes</x:v>
      </x:c>
      <x:c r="AB28" s="36" t="n">
        <x:f>V28/O28</x:f>
        <x:v>0.02339358647741518</x:v>
      </x:c>
      <x:c r="AC28" s="21" t="str"/>
    </x:row>
    <x:row r="29">
      <x:c r="A29" t="str">
        <x:v>Oriade</x:v>
      </x:c>
      <x:c r="B29" s="34" t="n">
        <x:v>15947</x:v>
      </x:c>
      <x:c r="C29" s="34" t="n">
        <x:v>14189</x:v>
      </x:c>
      <x:c r="D29" s="34" t="n">
        <x:v>805</x:v>
      </x:c>
      <x:c r="E29" s="34" t="n">
        <x:v>30941</x:v>
      </x:c>
      <x:c r="F29" s="36" t="n">
        <x:v>0.4554</x:v>
      </x:c>
      <x:c r="G29" s="36" t="n">
        <x:f>B29/E29</x:f>
        <x:v>0.5154002779483533</x:v>
      </x:c>
      <x:c r="H29" s="36" t="n">
        <x:f>C29/E29</x:f>
        <x:v>0.45858246339808023</x:v>
      </x:c>
      <x:c r="I29" t="str">
        <x:f>IF(B29&gt;C29,"Adeleke","APC")</x:f>
        <x:v>Adeleke</x:v>
      </x:c>
      <x:c r="J29" s="34" t="n">
        <x:f>ABS(B29-C29)</x:f>
        <x:v>1758</x:v>
      </x:c>
      <x:c r="K29" s="34" t="n">
        <x:v>21343</x:v>
      </x:c>
      <x:c r="L29" s="34" t="n">
        <x:v>14863</x:v>
      </x:c>
      <x:c r="M29" s="34" t="n">
        <x:v>423</x:v>
      </x:c>
      <x:c r="N29" s="34" t="n">
        <x:f>O29-K29-L29-M29</x:f>
        <x:v>444</x:v>
      </x:c>
      <x:c r="O29" s="34" t="n">
        <x:v>37073</x:v>
      </x:c>
      <x:c r="P29" s="34" t="n">
        <x:v>37962</x:v>
      </x:c>
      <x:c r="Q29" s="34" t="n">
        <x:v>37933</x:v>
      </x:c>
      <x:c r="R29" s="34" t="n">
        <x:f>Q29-O29</x:f>
        <x:v>860</x:v>
      </x:c>
      <x:c r="S29" s="36" t="n">
        <x:f>K29/O29</x:f>
        <x:v>0.5757019933644432</x:v>
      </x:c>
      <x:c r="T29" s="36" t="n">
        <x:f>L29/O29</x:f>
        <x:v>0.40091171472500203</x:v>
      </x:c>
      <x:c r="U29" t="str">
        <x:f>IF(K29&gt;L29,"Adeleke","APC")</x:f>
        <x:v>Adeleke</x:v>
      </x:c>
      <x:c r="V29" s="34" t="n">
        <x:f>ABS(K29-L29)</x:f>
        <x:v>6480</x:v>
      </x:c>
      <x:c r="W29" s="34" t="n">
        <x:f>K29-B29</x:f>
        <x:v>5396</x:v>
      </x:c>
      <x:c r="X29" s="34" t="n">
        <x:f>L29-C29</x:f>
        <x:v>674</x:v>
      </x:c>
      <x:c r="Y29" s="38" t="n">
        <x:f>(S29-G29)*100</x:f>
        <x:v>6.030171541608986</x:v>
      </x:c>
      <x:c r="Z29" s="38" t="n">
        <x:f>(T29-H29)*100</x:f>
        <x:v>-5.767074867307819</x:v>
      </x:c>
      <x:c r="AA29" t="str">
        <x:f>IF(I29=U29,"No","Yes")</x:f>
        <x:v>No</x:v>
      </x:c>
      <x:c r="AB29" s="36" t="n">
        <x:f>V29/O29</x:f>
        <x:v>0.1747902786394411</x:v>
      </x:c>
      <x:c r="AC29" s="21" t="str">
        <x:v>Adeleke value set to 15,947 after cross-check; some reports transcribed 15,940.</x:v>
      </x:c>
    </x:row>
    <x:row r="30">
      <x:c r="A30" t="str">
        <x:v>Orolu</x:v>
      </x:c>
      <x:c r="B30" s="34" t="n">
        <x:v>10282</x:v>
      </x:c>
      <x:c r="C30" s="34" t="n">
        <x:v>9928</x:v>
      </x:c>
      <x:c r="D30" s="34" t="n">
        <x:v>555</x:v>
      </x:c>
      <x:c r="E30" s="34" t="n">
        <x:v>20765</x:v>
      </x:c>
      <x:c r="F30" s="36" t="n">
        <x:v>0.5341</x:v>
      </x:c>
      <x:c r="G30" s="36" t="n">
        <x:f>B30/E30</x:f>
        <x:v>0.4951601252106911</x:v>
      </x:c>
      <x:c r="H30" s="36" t="n">
        <x:f>C30/E30</x:f>
        <x:v>0.478112208042379</x:v>
      </x:c>
      <x:c r="I30" t="str">
        <x:f>IF(B30&gt;C30,"Adeleke","APC")</x:f>
        <x:v>Adeleke</x:v>
      </x:c>
      <x:c r="J30" s="34" t="n">
        <x:f>ABS(B30-C30)</x:f>
        <x:v>354</x:v>
      </x:c>
      <x:c r="K30" s="34" t="n">
        <x:v>12352</x:v>
      </x:c>
      <x:c r="L30" s="34" t="n">
        <x:v>10622</x:v>
      </x:c>
      <x:c r="M30" s="34" t="n">
        <x:v>236</x:v>
      </x:c>
      <x:c r="N30" s="34" t="n">
        <x:f>O30-K30-L30-M30</x:f>
        <x:v>228</x:v>
      </x:c>
      <x:c r="O30" s="34" t="n">
        <x:v>23438</x:v>
      </x:c>
      <x:c r="P30" s="34" t="n">
        <x:v>25423</x:v>
      </x:c>
      <x:c r="Q30" s="34" t="n">
        <x:v>23890</x:v>
      </x:c>
      <x:c r="R30" s="34" t="n">
        <x:f>Q30-O30</x:f>
        <x:v>452</x:v>
      </x:c>
      <x:c r="S30" s="36" t="n">
        <x:f>K30/O30</x:f>
        <x:v>0.5270074238416247</x:v>
      </x:c>
      <x:c r="T30" s="36" t="n">
        <x:f>L30/O30</x:f>
        <x:v>0.4531956651591433</x:v>
      </x:c>
      <x:c r="U30" t="str">
        <x:f>IF(K30&gt;L30,"Adeleke","APC")</x:f>
        <x:v>Adeleke</x:v>
      </x:c>
      <x:c r="V30" s="34" t="n">
        <x:f>ABS(K30-L30)</x:f>
        <x:v>1730</x:v>
      </x:c>
      <x:c r="W30" s="34" t="n">
        <x:f>K30-B30</x:f>
        <x:v>2070</x:v>
      </x:c>
      <x:c r="X30" s="34" t="n">
        <x:f>L30-C30</x:f>
        <x:v>694</x:v>
      </x:c>
      <x:c r="Y30" s="38" t="n">
        <x:f>(S30-G30)*100</x:f>
        <x:v>3.1847298630933607</x:v>
      </x:c>
      <x:c r="Z30" s="38" t="n">
        <x:f>(T30-H30)*100</x:f>
        <x:v>-2.491654288323575</x:v>
      </x:c>
      <x:c r="AA30" t="str">
        <x:f>IF(I30=U30,"No","Yes")</x:f>
        <x:v>No</x:v>
      </x:c>
      <x:c r="AB30" s="36" t="n">
        <x:f>V30/O30</x:f>
        <x:v>0.07381175868248144</x:v>
      </x:c>
      <x:c r="AC30" s="21" t="str">
        <x:v>2026 Orolu accredited voters corrected 25,424 → 25,423. Channels supports 25,423; the correction reconciles the statewide accredited total exactly.</x:v>
      </x:c>
    </x:row>
    <x:row r="31">
      <x:c r="A31" t="str">
        <x:v>Osogbo</x:v>
      </x:c>
      <x:c r="B31" s="34" t="n">
        <x:v>30401</x:v>
      </x:c>
      <x:c r="C31" s="34" t="n">
        <x:v>22952</x:v>
      </x:c>
      <x:c r="D31" s="34" t="n">
        <x:v>1644</x:v>
      </x:c>
      <x:c r="E31" s="34" t="n">
        <x:v>54997</x:v>
      </x:c>
      <x:c r="F31" s="36" t="n">
        <x:v>0.3927</x:v>
      </x:c>
      <x:c r="G31" s="36" t="n">
        <x:f>B31/E31</x:f>
        <x:v>0.5527756059421423</x:v>
      </x:c>
      <x:c r="H31" s="36" t="n">
        <x:f>C31/E31</x:f>
        <x:v>0.417331854464789</x:v>
      </x:c>
      <x:c r="I31" t="str">
        <x:f>IF(B31&gt;C31,"Adeleke","APC")</x:f>
        <x:v>Adeleke</x:v>
      </x:c>
      <x:c r="J31" s="34" t="n">
        <x:f>ABS(B31-C31)</x:f>
        <x:v>7449</x:v>
      </x:c>
      <x:c r="K31" s="34" t="n">
        <x:v>36480</x:v>
      </x:c>
      <x:c r="L31" s="34" t="n">
        <x:v>30474</x:v>
      </x:c>
      <x:c r="M31" s="34" t="n">
        <x:v>1503</x:v>
      </x:c>
      <x:c r="N31" s="34" t="n">
        <x:f>O31-K31-L31-M31</x:f>
        <x:v>850</x:v>
      </x:c>
      <x:c r="O31" s="34" t="n">
        <x:v>69307</x:v>
      </x:c>
      <x:c r="P31" s="34" t="n">
        <x:v>70840</x:v>
      </x:c>
      <x:c r="Q31" s="34" t="n">
        <x:v>70785</x:v>
      </x:c>
      <x:c r="R31" s="34" t="n">
        <x:f>Q31-O31</x:f>
        <x:v>1478</x:v>
      </x:c>
      <x:c r="S31" s="36" t="n">
        <x:f>K31/O31</x:f>
        <x:v>0.5263537593605263</x:v>
      </x:c>
      <x:c r="T31" s="36" t="n">
        <x:f>L31/O31</x:f>
        <x:v>0.4396958460184397</x:v>
      </x:c>
      <x:c r="U31" t="str">
        <x:f>IF(K31&gt;L31,"Adeleke","APC")</x:f>
        <x:v>Adeleke</x:v>
      </x:c>
      <x:c r="V31" s="34" t="n">
        <x:f>ABS(K31-L31)</x:f>
        <x:v>6006</x:v>
      </x:c>
      <x:c r="W31" s="34" t="n">
        <x:f>K31-B31</x:f>
        <x:v>6079</x:v>
      </x:c>
      <x:c r="X31" s="34" t="n">
        <x:f>L31-C31</x:f>
        <x:v>7522</x:v>
      </x:c>
      <x:c r="Y31" s="38" t="n">
        <x:f>(S31-G31)*100</x:f>
        <x:v>-2.642184658161595</x:v>
      </x:c>
      <x:c r="Z31" s="38" t="n">
        <x:f>(T31-H31)*100</x:f>
        <x:v>2.2363991553650706</x:v>
      </x:c>
      <x:c r="AA31" t="str">
        <x:f>IF(I31=U31,"No","Yes")</x:f>
        <x:v>No</x:v>
      </x:c>
      <x:c r="AB31" s="36" t="n">
        <x:f>V31/O31</x:f>
        <x:v>0.08665791334208665</x:v>
      </x:c>
      <x:c r="AC31" s="21" t="str"/>
    </x:row>
  </x:sheetData>
  <x:conditionalFormatting sqref="AA2:AA31">
    <x:cfRule type="expression" dxfId="0" priority="1">
      <x:formula>AA2="Yes"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47223af0ab46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44" hidden="0" customWidth="1"/>
  </x:cols>
  <x:sheetData>
    <x:row r="1">
      <x:c r="A1" s="29" t="str">
        <x:v>LGA</x:v>
      </x:c>
      <x:c r="B1" s="29" t="str">
        <x:v>APC — Oyetola</x:v>
      </x:c>
      <x:c r="C1" s="29" t="str">
        <x:v>PDP — Adeleke</x:v>
      </x:c>
      <x:c r="D1" s="29" t="str">
        <x:v>Other Votes</x:v>
      </x:c>
      <x:c r="E1" s="29" t="str">
        <x:v>Total Valid Votes</x:v>
      </x:c>
      <x:c r="F1" s="29" t="str">
        <x:v>Turnout %</x:v>
      </x:c>
      <x:c r="G1" s="29" t="str">
        <x:v>Data Note</x:v>
      </x:c>
      <x:c r="H1" s="29" t="str">
        <x:v>Primary/Verification Source</x:v>
      </x:c>
    </x:row>
    <x:row r="2">
      <x:c r="A2" t="str">
        <x:v>Aiyedaade</x:v>
      </x:c>
      <x:c r="B2" s="34" t="n">
        <x:v>14527</x:v>
      </x:c>
      <x:c r="C2" s="34" t="n">
        <x:v>13380</x:v>
      </x:c>
      <x:c r="D2" s="34" t="n">
        <x:v>1081</x:v>
      </x:c>
      <x:c r="E2" s="34" t="n">
        <x:v>28988</x:v>
      </x:c>
      <x:c r="F2" s="36" t="n">
        <x:v>0.4387</x:v>
      </x:c>
      <x:c r="G2" s="21" t="str"/>
      <x:c r="H2" s="21" t="str">
        <x:v>https://www.inecelectionresults.ng/elections/62d1c3bb2cc4ff0df57802d1?type=gov</x:v>
      </x:c>
    </x:row>
    <x:row r="3">
      <x:c r="A3" t="str">
        <x:v>Aiyedire</x:v>
      </x:c>
      <x:c r="B3" s="34" t="n">
        <x:v>7868</x:v>
      </x:c>
      <x:c r="C3" s="34" t="n">
        <x:v>7402</x:v>
      </x:c>
      <x:c r="D3" s="34" t="n">
        <x:v>1744</x:v>
      </x:c>
      <x:c r="E3" s="34" t="n">
        <x:v>17014</x:v>
      </x:c>
      <x:c r="F3" s="36" t="n">
        <x:v>0.4655</x:v>
      </x:c>
      <x:c r="G3" s="21" t="str"/>
      <x:c r="H3" s="21" t="str">
        <x:v>https://www.inecelectionresults.ng/elections/62d1c3bb2cc4ff0df57802d1?type=gov</x:v>
      </x:c>
    </x:row>
    <x:row r="4">
      <x:c r="A4" t="str">
        <x:v>Atakunmosa East</x:v>
      </x:c>
      <x:c r="B4" s="34" t="n">
        <x:v>7449</x:v>
      </x:c>
      <x:c r="C4" s="34" t="n">
        <x:v>6992</x:v>
      </x:c>
      <x:c r="D4" s="34" t="n">
        <x:v>434</x:v>
      </x:c>
      <x:c r="E4" s="34" t="n">
        <x:v>14875</x:v>
      </x:c>
      <x:c r="F4" s="36" t="n">
        <x:v>0.3703</x:v>
      </x:c>
      <x:c r="G4" s="21" t="str"/>
      <x:c r="H4" s="21" t="str">
        <x:v>https://www.inecelectionresults.ng/elections/62d1c3bb2cc4ff0df57802d1?type=gov</x:v>
      </x:c>
    </x:row>
    <x:row r="5">
      <x:c r="A5" t="str">
        <x:v>Atakunmosa West</x:v>
      </x:c>
      <x:c r="B5" s="34" t="n">
        <x:v>6601</x:v>
      </x:c>
      <x:c r="C5" s="34" t="n">
        <x:v>7750</x:v>
      </x:c>
      <x:c r="D5" s="34" t="n">
        <x:v>443</x:v>
      </x:c>
      <x:c r="E5" s="34" t="n">
        <x:v>14794</x:v>
      </x:c>
      <x:c r="F5" s="36" t="n">
        <x:v>0.4153</x:v>
      </x:c>
      <x:c r="G5" s="21" t="str"/>
      <x:c r="H5" s="21" t="str">
        <x:v>https://www.inecelectionresults.ng/elections/62d1c3bb2cc4ff0df57802d1?type=gov</x:v>
      </x:c>
    </x:row>
    <x:row r="6">
      <x:c r="A6" t="str">
        <x:v>Boluwaduro</x:v>
      </x:c>
      <x:c r="B6" s="34" t="n">
        <x:v>5649</x:v>
      </x:c>
      <x:c r="C6" s="34" t="n">
        <x:v>5860</x:v>
      </x:c>
      <x:c r="D6" s="34" t="n">
        <x:v>286</x:v>
      </x:c>
      <x:c r="E6" s="34" t="n">
        <x:v>11795</x:v>
      </x:c>
      <x:c r="F6" s="36" t="n">
        <x:v>0.4935</x:v>
      </x:c>
      <x:c r="G6" s="21" t="str"/>
      <x:c r="H6" s="21" t="str">
        <x:v>https://www.inecelectionresults.ng/elections/62d1c3bb2cc4ff0df57802d1?type=gov</x:v>
      </x:c>
    </x:row>
    <x:row r="7">
      <x:c r="A7" t="str">
        <x:v>Boripe</x:v>
      </x:c>
      <x:c r="B7" s="34" t="n">
        <x:v>21205</x:v>
      </x:c>
      <x:c r="C7" s="34" t="n">
        <x:v>7595</x:v>
      </x:c>
      <x:c r="D7" s="34" t="n">
        <x:v>710</x:v>
      </x:c>
      <x:c r="E7" s="34" t="n">
        <x:v>29510</x:v>
      </x:c>
      <x:c r="F7" s="36" t="n">
        <x:v>0.433</x:v>
      </x:c>
      <x:c r="G7" s="21" t="str"/>
      <x:c r="H7" s="21" t="str">
        <x:v>https://www.inecelectionresults.ng/elections/62d1c3bb2cc4ff0df57802d1?type=gov</x:v>
      </x:c>
    </x:row>
    <x:row r="8">
      <x:c r="A8" t="str">
        <x:v>Ede North</x:v>
      </x:c>
      <x:c r="B8" s="34" t="n">
        <x:v>9603</x:v>
      </x:c>
      <x:c r="C8" s="34" t="n">
        <x:v>23931</x:v>
      </x:c>
      <x:c r="D8" s="34" t="n">
        <x:v>579</x:v>
      </x:c>
      <x:c r="E8" s="34" t="n">
        <x:v>34113</x:v>
      </x:c>
      <x:c r="F8" s="36" t="n">
        <x:v>0.4834</x:v>
      </x:c>
      <x:c r="G8" s="21" t="str"/>
      <x:c r="H8" s="21" t="str">
        <x:v>https://www.inecelectionresults.ng/elections/62d1c3bb2cc4ff0df57802d1?type=gov</x:v>
      </x:c>
    </x:row>
    <x:row r="9">
      <x:c r="A9" t="str">
        <x:v>Ede South</x:v>
      </x:c>
      <x:c r="B9" s="34" t="n">
        <x:v>5704</x:v>
      </x:c>
      <x:c r="C9" s="34" t="n">
        <x:v>19438</x:v>
      </x:c>
      <x:c r="D9" s="34" t="n">
        <x:v>549</x:v>
      </x:c>
      <x:c r="E9" s="34" t="n">
        <x:v>25691</x:v>
      </x:c>
      <x:c r="F9" s="36" t="n">
        <x:v>0.4781</x:v>
      </x:c>
      <x:c r="G9" s="21" t="str"/>
      <x:c r="H9" s="21" t="str">
        <x:v>https://www.inecelectionresults.ng/elections/62d1c3bb2cc4ff0df57802d1?type=gov</x:v>
      </x:c>
    </x:row>
    <x:row r="10">
      <x:c r="A10" t="str">
        <x:v>Egbedore</x:v>
      </x:c>
      <x:c r="B10" s="34" t="n">
        <x:v>9228</x:v>
      </x:c>
      <x:c r="C10" s="34" t="n">
        <x:v>13230</x:v>
      </x:c>
      <x:c r="D10" s="34" t="n">
        <x:v>614</x:v>
      </x:c>
      <x:c r="E10" s="34" t="n">
        <x:v>23072</x:v>
      </x:c>
      <x:c r="F10" s="36" t="n">
        <x:v>0.4412</x:v>
      </x:c>
      <x:c r="G10" s="21" t="str"/>
      <x:c r="H10" s="21" t="str">
        <x:v>https://www.inecelectionresults.ng/elections/62d1c3bb2cc4ff0df57802d1?type=gov</x:v>
      </x:c>
    </x:row>
    <x:row r="11">
      <x:c r="A11" t="str">
        <x:v>Ejigbo</x:v>
      </x:c>
      <x:c r="B11" s="34" t="n">
        <x:v>14355</x:v>
      </x:c>
      <x:c r="C11" s="34" t="n">
        <x:v>18065</x:v>
      </x:c>
      <x:c r="D11" s="34" t="n">
        <x:v>909</x:v>
      </x:c>
      <x:c r="E11" s="34" t="n">
        <x:v>33329</x:v>
      </x:c>
      <x:c r="F11" s="36" t="n">
        <x:v>0.465</x:v>
      </x:c>
      <x:c r="G11" s="21" t="str"/>
      <x:c r="H11" s="21" t="str">
        <x:v>https://www.inecelectionresults.ng/elections/62d1c3bb2cc4ff0df57802d1?type=gov</x:v>
      </x:c>
    </x:row>
    <x:row r="12">
      <x:c r="A12" t="str">
        <x:v>Ife Central</x:v>
      </x:c>
      <x:c r="B12" s="34" t="n">
        <x:v>17880</x:v>
      </x:c>
      <x:c r="C12" s="34" t="n">
        <x:v>13532</x:v>
      </x:c>
      <x:c r="D12" s="34" t="n">
        <x:v>1132</x:v>
      </x:c>
      <x:c r="E12" s="34" t="n">
        <x:v>32544</x:v>
      </x:c>
      <x:c r="F12" s="36" t="n">
        <x:v>0.295</x:v>
      </x:c>
      <x:c r="G12" s="21" t="str"/>
      <x:c r="H12" s="21" t="str">
        <x:v>https://www.inecelectionresults.ng/elections/62d1c3bb2cc4ff0df57802d1?type=gov</x:v>
      </x:c>
    </x:row>
    <x:row r="13">
      <x:c r="A13" t="str">
        <x:v>Ife East</x:v>
      </x:c>
      <x:c r="B13" s="34" t="n">
        <x:v>19353</x:v>
      </x:c>
      <x:c r="C13" s="34" t="n">
        <x:v>18071</x:v>
      </x:c>
      <x:c r="D13" s="34" t="n">
        <x:v>1701</x:v>
      </x:c>
      <x:c r="E13" s="34" t="n">
        <x:v>39125</x:v>
      </x:c>
      <x:c r="F13" s="36" t="n">
        <x:v>0.355</x:v>
      </x:c>
      <x:c r="G13" s="21" t="str"/>
      <x:c r="H13" s="21" t="str">
        <x:v>https://www.inecelectionresults.ng/elections/62d1c3bb2cc4ff0df57802d1?type=gov</x:v>
      </x:c>
    </x:row>
    <x:row r="14">
      <x:c r="A14" t="str">
        <x:v>Ife North</x:v>
      </x:c>
      <x:c r="B14" s="34" t="n">
        <x:v>9964</x:v>
      </x:c>
      <x:c r="C14" s="34" t="n">
        <x:v>10359</x:v>
      </x:c>
      <x:c r="D14" s="34" t="n">
        <x:v>727</x:v>
      </x:c>
      <x:c r="E14" s="34" t="n">
        <x:v>21050</x:v>
      </x:c>
      <x:c r="F14" s="36" t="n">
        <x:v>0.3699</x:v>
      </x:c>
      <x:c r="G14" s="21" t="str"/>
      <x:c r="H14" s="21" t="str">
        <x:v>https://www.inecelectionresults.ng/elections/62d1c3bb2cc4ff0df57802d1?type=gov</x:v>
      </x:c>
    </x:row>
    <x:row r="15">
      <x:c r="A15" t="str">
        <x:v>Ife South</x:v>
      </x:c>
      <x:c r="B15" s="34" t="n">
        <x:v>12481</x:v>
      </x:c>
      <x:c r="C15" s="34" t="n">
        <x:v>9116</x:v>
      </x:c>
      <x:c r="D15" s="34" t="n">
        <x:v>729</x:v>
      </x:c>
      <x:c r="E15" s="34" t="n">
        <x:v>22326</x:v>
      </x:c>
      <x:c r="F15" s="36" t="n">
        <x:v>0.4041</x:v>
      </x:c>
      <x:c r="G15" s="21" t="str"/>
      <x:c r="H15" s="21" t="str">
        <x:v>https://www.inecelectionresults.ng/elections/62d1c3bb2cc4ff0df57802d1?type=gov</x:v>
      </x:c>
    </x:row>
    <x:row r="16">
      <x:c r="A16" t="str">
        <x:v>Ifedayo</x:v>
      </x:c>
      <x:c r="B16" s="34" t="n">
        <x:v>5016</x:v>
      </x:c>
      <x:c r="C16" s="34" t="n">
        <x:v>4730</x:v>
      </x:c>
      <x:c r="D16" s="34" t="n">
        <x:v>166</x:v>
      </x:c>
      <x:c r="E16" s="34" t="n">
        <x:v>9912</x:v>
      </x:c>
      <x:c r="F16" s="36" t="n">
        <x:v>0.5121</x:v>
      </x:c>
      <x:c r="G16" s="21" t="str"/>
      <x:c r="H16" s="21" t="str">
        <x:v>https://www.inecelectionresults.ng/elections/62d1c3bb2cc4ff0df57802d1?type=gov</x:v>
      </x:c>
    </x:row>
    <x:row r="17">
      <x:c r="A17" t="str">
        <x:v>Ifelodun</x:v>
      </x:c>
      <x:c r="B17" s="34" t="n">
        <x:v>16068</x:v>
      </x:c>
      <x:c r="C17" s="34" t="n">
        <x:v>17107</x:v>
      </x:c>
      <x:c r="D17" s="34" t="n">
        <x:v>861</x:v>
      </x:c>
      <x:c r="E17" s="34" t="n">
        <x:v>34036</x:v>
      </x:c>
      <x:c r="F17" s="36" t="n">
        <x:v>0.4352</x:v>
      </x:c>
      <x:c r="G17" s="21" t="str"/>
      <x:c r="H17" s="21" t="str">
        <x:v>https://www.inecelectionresults.ng/elections/62d1c3bb2cc4ff0df57802d1?type=gov</x:v>
      </x:c>
    </x:row>
    <x:row r="18">
      <x:c r="A18" t="str">
        <x:v>Ila</x:v>
      </x:c>
      <x:c r="B18" s="34" t="n">
        <x:v>11163</x:v>
      </x:c>
      <x:c r="C18" s="34" t="n">
        <x:v>13036</x:v>
      </x:c>
      <x:c r="D18" s="34" t="n">
        <x:v>373</x:v>
      </x:c>
      <x:c r="E18" s="34" t="n">
        <x:v>24572</x:v>
      </x:c>
      <x:c r="F18" s="36" t="n">
        <x:v>0.5342</x:v>
      </x:c>
      <x:c r="G18" s="21" t="str"/>
      <x:c r="H18" s="21" t="str">
        <x:v>https://www.inecelectionresults.ng/elections/62d1c3bb2cc4ff0df57802d1?type=gov</x:v>
      </x:c>
    </x:row>
    <x:row r="19">
      <x:c r="A19" t="str">
        <x:v>Ilesa East</x:v>
      </x:c>
      <x:c r="B19" s="34" t="n">
        <x:v>13452</x:v>
      </x:c>
      <x:c r="C19" s="34" t="n">
        <x:v>10969</x:v>
      </x:c>
      <x:c r="D19" s="34" t="n">
        <x:v>921</x:v>
      </x:c>
      <x:c r="E19" s="34" t="n">
        <x:v>25342</x:v>
      </x:c>
      <x:c r="F19" s="36" t="n">
        <x:v>0.356</x:v>
      </x:c>
      <x:c r="G19" s="21" t="str"/>
      <x:c r="H19" s="21" t="str">
        <x:v>https://www.inecelectionresults.ng/elections/62d1c3bb2cc4ff0df57802d1?type=gov</x:v>
      </x:c>
    </x:row>
    <x:row r="20">
      <x:c r="A20" t="str">
        <x:v>Ilesa West</x:v>
      </x:c>
      <x:c r="B20" s="34" t="n">
        <x:v>10777</x:v>
      </x:c>
      <x:c r="C20" s="34" t="n">
        <x:v>13769</x:v>
      </x:c>
      <x:c r="D20" s="34" t="n">
        <x:v>857</x:v>
      </x:c>
      <x:c r="E20" s="34" t="n">
        <x:v>25403</x:v>
      </x:c>
      <x:c r="F20" s="36" t="n">
        <x:v>0.3702</x:v>
      </x:c>
      <x:c r="G20" s="21" t="str"/>
      <x:c r="H20" s="21" t="str">
        <x:v>https://www.inecelectionresults.ng/elections/62d1c3bb2cc4ff0df57802d1?type=gov</x:v>
      </x:c>
    </x:row>
    <x:row r="21">
      <x:c r="A21" t="str">
        <x:v>Irepodun</x:v>
      </x:c>
      <x:c r="B21" s="34" t="n">
        <x:v>12122</x:v>
      </x:c>
      <x:c r="C21" s="34" t="n">
        <x:v>14369</x:v>
      </x:c>
      <x:c r="D21" s="34" t="n">
        <x:v>2541</x:v>
      </x:c>
      <x:c r="E21" s="34" t="n">
        <x:v>29032</x:v>
      </x:c>
      <x:c r="F21" s="36" t="n">
        <x:v>0.5125</x:v>
      </x:c>
      <x:c r="G21" s="21" t="str"/>
      <x:c r="H21" s="21" t="str">
        <x:v>https://www.inecelectionresults.ng/elections/62d1c3bb2cc4ff0df57802d1?type=gov</x:v>
      </x:c>
    </x:row>
    <x:row r="22">
      <x:c r="A22" t="str">
        <x:v>Irewole</x:v>
      </x:c>
      <x:c r="B22" s="34" t="n">
        <x:v>18198</x:v>
      </x:c>
      <x:c r="C22" s="34" t="n">
        <x:v>14216</x:v>
      </x:c>
      <x:c r="D22" s="34" t="n">
        <x:v>901</x:v>
      </x:c>
      <x:c r="E22" s="34" t="n">
        <x:v>33315</x:v>
      </x:c>
      <x:c r="F22" s="36" t="n">
        <x:v>0.4597</x:v>
      </x:c>
      <x:c r="G22" s="21" t="str"/>
      <x:c r="H22" s="21" t="str">
        <x:v>https://www.inecelectionresults.ng/elections/62d1c3bb2cc4ff0df57802d1?type=gov</x:v>
      </x:c>
    </x:row>
    <x:row r="23">
      <x:c r="A23" t="str">
        <x:v>Isokan</x:v>
      </x:c>
      <x:c r="B23" s="34" t="n">
        <x:v>10833</x:v>
      </x:c>
      <x:c r="C23" s="34" t="n">
        <x:v>10777</x:v>
      </x:c>
      <x:c r="D23" s="34" t="n">
        <x:v>743</x:v>
      </x:c>
      <x:c r="E23" s="34" t="n">
        <x:v>22353</x:v>
      </x:c>
      <x:c r="F23" s="36" t="n">
        <x:v>0.4314</x:v>
      </x:c>
      <x:c r="G23" s="21" t="str"/>
      <x:c r="H23" s="21" t="str">
        <x:v>https://www.inecelectionresults.ng/elections/62d1c3bb2cc4ff0df57802d1?type=gov</x:v>
      </x:c>
    </x:row>
    <x:row r="24">
      <x:c r="A24" t="str">
        <x:v>Iwo</x:v>
      </x:c>
      <x:c r="B24" s="34" t="n">
        <x:v>17421</x:v>
      </x:c>
      <x:c r="C24" s="34" t="n">
        <x:v>16914</x:v>
      </x:c>
      <x:c r="D24" s="34" t="n">
        <x:v>1299</x:v>
      </x:c>
      <x:c r="E24" s="34" t="n">
        <x:v>35634</x:v>
      </x:c>
      <x:c r="F24" s="36" t="n">
        <x:v>0.4057</x:v>
      </x:c>
      <x:c r="G24" s="21" t="str"/>
      <x:c r="H24" s="21" t="str">
        <x:v>https://www.inecelectionresults.ng/elections/62d1c3bb2cc4ff0df57802d1?type=gov</x:v>
      </x:c>
    </x:row>
    <x:row r="25">
      <x:c r="A25" t="str">
        <x:v>Obokun</x:v>
      </x:c>
      <x:c r="B25" s="34" t="n">
        <x:v>9727</x:v>
      </x:c>
      <x:c r="C25" s="34" t="n">
        <x:v>13575</x:v>
      </x:c>
      <x:c r="D25" s="34" t="n">
        <x:v>511</x:v>
      </x:c>
      <x:c r="E25" s="34" t="n">
        <x:v>23813</x:v>
      </x:c>
      <x:c r="F25" s="36" t="n">
        <x:v>0.4581</x:v>
      </x:c>
      <x:c r="G25" s="21" t="str">
        <x:v>Corrected valid votes to 23,813. Some secondary tables misplace 24,399 (votes cast) as valid votes.</x:v>
      </x:c>
      <x:c r="H25" s="21" t="str">
        <x:v>https://www.inecelectionresults.ng/elections/62d1c3bb2cc4ff0df57802d1?type=gov</x:v>
      </x:c>
    </x:row>
    <x:row r="26">
      <x:c r="A26" t="str">
        <x:v>Odo Otin</x:v>
      </x:c>
      <x:c r="B26" s="34" t="n">
        <x:v>13482</x:v>
      </x:c>
      <x:c r="C26" s="34" t="n">
        <x:v>14003</x:v>
      </x:c>
      <x:c r="D26" s="34" t="n">
        <x:v>700</x:v>
      </x:c>
      <x:c r="E26" s="34" t="n">
        <x:v>28185</x:v>
      </x:c>
      <x:c r="F26" s="36" t="n">
        <x:v>0.4278</x:v>
      </x:c>
      <x:c r="G26" s="21" t="str"/>
      <x:c r="H26" s="21" t="str">
        <x:v>https://www.inecelectionresults.ng/elections/62d1c3bb2cc4ff0df57802d1?type=gov</x:v>
      </x:c>
    </x:row>
    <x:row r="27">
      <x:c r="A27" t="str">
        <x:v>Ola Oluwa</x:v>
      </x:c>
      <x:c r="B27" s="34" t="n">
        <x:v>9123</x:v>
      </x:c>
      <x:c r="C27" s="34" t="n">
        <x:v>7205</x:v>
      </x:c>
      <x:c r="D27" s="34" t="n">
        <x:v>409</x:v>
      </x:c>
      <x:c r="E27" s="34" t="n">
        <x:v>16737</x:v>
      </x:c>
      <x:c r="F27" s="36" t="n">
        <x:v>0.4628</x:v>
      </x:c>
      <x:c r="G27" s="21" t="str"/>
      <x:c r="H27" s="21" t="str">
        <x:v>https://www.inecelectionresults.ng/elections/62d1c3bb2cc4ff0df57802d1?type=gov</x:v>
      </x:c>
    </x:row>
    <x:row r="28">
      <x:c r="A28" t="str">
        <x:v>Olorunda</x:v>
      </x:c>
      <x:c r="B28" s="34" t="n">
        <x:v>18709</x:v>
      </x:c>
      <x:c r="C28" s="34" t="n">
        <x:v>21350</x:v>
      </x:c>
      <x:c r="D28" s="34" t="n">
        <x:v>1128</x:v>
      </x:c>
      <x:c r="E28" s="34" t="n">
        <x:v>41187</x:v>
      </x:c>
      <x:c r="F28" s="36" t="n">
        <x:v>0.4004</x:v>
      </x:c>
      <x:c r="G28" s="21" t="str"/>
      <x:c r="H28" s="21" t="str">
        <x:v>https://www.inecelectionresults.ng/elections/62d1c3bb2cc4ff0df57802d1?type=gov</x:v>
      </x:c>
    </x:row>
    <x:row r="29">
      <x:c r="A29" t="str">
        <x:v>Oriade</x:v>
      </x:c>
      <x:c r="B29" s="34" t="n">
        <x:v>14189</x:v>
      </x:c>
      <x:c r="C29" s="34" t="n">
        <x:v>15947</x:v>
      </x:c>
      <x:c r="D29" s="34" t="n">
        <x:v>805</x:v>
      </x:c>
      <x:c r="E29" s="34" t="n">
        <x:v>30941</x:v>
      </x:c>
      <x:c r="F29" s="36" t="n">
        <x:v>0.4554</x:v>
      </x:c>
      <x:c r="G29" s="21" t="str">
        <x:v>Adeleke value set to 15,947 after cross-check; some reports transcribed 15,940.</x:v>
      </x:c>
      <x:c r="H29" s="21" t="str">
        <x:v>https://www.inecelectionresults.ng/elections/62d1c3bb2cc4ff0df57802d1?type=gov</x:v>
      </x:c>
    </x:row>
    <x:row r="30">
      <x:c r="A30" t="str">
        <x:v>Orolu</x:v>
      </x:c>
      <x:c r="B30" s="34" t="n">
        <x:v>9928</x:v>
      </x:c>
      <x:c r="C30" s="34" t="n">
        <x:v>10282</x:v>
      </x:c>
      <x:c r="D30" s="34" t="n">
        <x:v>555</x:v>
      </x:c>
      <x:c r="E30" s="34" t="n">
        <x:v>20765</x:v>
      </x:c>
      <x:c r="F30" s="36" t="n">
        <x:v>0.5341</x:v>
      </x:c>
      <x:c r="G30" s="21" t="str"/>
      <x:c r="H30" s="21" t="str">
        <x:v>https://www.inecelectionresults.ng/elections/62d1c3bb2cc4ff0df57802d1?type=gov</x:v>
      </x:c>
    </x:row>
    <x:row r="31">
      <x:c r="A31" t="str">
        <x:v>Osogbo</x:v>
      </x:c>
      <x:c r="B31" s="34" t="n">
        <x:v>22952</x:v>
      </x:c>
      <x:c r="C31" s="34" t="n">
        <x:v>30401</x:v>
      </x:c>
      <x:c r="D31" s="34" t="n">
        <x:v>1644</x:v>
      </x:c>
      <x:c r="E31" s="34" t="n">
        <x:v>54997</x:v>
      </x:c>
      <x:c r="F31" s="36" t="n">
        <x:v>0.3927</x:v>
      </x:c>
      <x:c r="G31" s="21" t="str"/>
      <x:c r="H31" s="21" t="str">
        <x:v>https://www.inecelectionresults.ng/elections/62d1c3bb2cc4ff0df57802d1?type=gov</x:v>
      </x:c>
    </x:row>
  </x:sheetData>
  <x:pageMargins left="0.7" right="0.7" top="0.75" bottom="0.75" header="0.3" footer="0.3"/>
  <x:tableParts count="1">
    <x:tablePart xmlns:r="http://schemas.openxmlformats.org/officeDocument/2006/relationships" r:id="R87e88420f52245b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6" hidden="0" customWidth="1"/>
    <x:col min="9" max="9" width="44" hidden="0" customWidth="1"/>
    <x:col min="10" max="10" width="44" hidden="0" customWidth="1"/>
  </x:cols>
  <x:sheetData>
    <x:row r="1">
      <x:c r="A1" s="29" t="str">
        <x:v>LGA</x:v>
      </x:c>
      <x:c r="B1" s="29" t="str">
        <x:v>Accord — Adeleke</x:v>
      </x:c>
      <x:c r="C1" s="29" t="str">
        <x:v>APC — Oyebamiji</x:v>
      </x:c>
      <x:c r="D1" s="29" t="str">
        <x:v>ADC — Salaam</x:v>
      </x:c>
      <x:c r="E1" s="29" t="str">
        <x:v>Accredited Voters</x:v>
      </x:c>
      <x:c r="F1" s="29" t="str">
        <x:v>Total Valid Votes</x:v>
      </x:c>
      <x:c r="G1" s="29" t="str">
        <x:v>Total Votes Cast</x:v>
      </x:c>
      <x:c r="H1" s="29" t="str">
        <x:v>Data Note</x:v>
      </x:c>
      <x:c r="I1" s="29" t="str">
        <x:v>Candidate Source</x:v>
      </x:c>
      <x:c r="J1" s="29" t="str">
        <x:v>Participation Source</x:v>
      </x:c>
    </x:row>
    <x:row r="2">
      <x:c r="A2" t="str">
        <x:v>Aiyedaade</x:v>
      </x:c>
      <x:c r="B2" s="34" t="n">
        <x:v>16681</x:v>
      </x:c>
      <x:c r="C2" s="34" t="n">
        <x:v>15719</x:v>
      </x:c>
      <x:c r="D2" s="34" t="n">
        <x:v>331</x:v>
      </x:c>
      <x:c r="E2" s="34" t="n">
        <x:v>34232</x:v>
      </x:c>
      <x:c r="F2" s="34" t="n">
        <x:v>33180</x:v>
      </x:c>
      <x:c r="G2" s="34" t="n">
        <x:v>33801</x:v>
      </x:c>
      <x:c r="H2" s="21" t="str"/>
      <x:c r="I2" s="21" t="str">
        <x:v>https://www.premiumtimesng.com/news/top-news/903305-updated-osundecides2026-inec-declares-accords-ademola-adeleke-winner-of-governorship-election.html</x:v>
      </x:c>
      <x:c r="J2" s="21" t="str">
        <x:v>https://punchng.com/breaking-adeleke-wins-19-lgs-apcs-oyebamiji-secures-11-lgs/</x:v>
      </x:c>
    </x:row>
    <x:row r="3">
      <x:c r="A3" t="str">
        <x:v>Aiyedire</x:v>
      </x:c>
      <x:c r="B3" s="34" t="n">
        <x:v>11073</x:v>
      </x:c>
      <x:c r="C3" s="34" t="n">
        <x:v>9910</x:v>
      </x:c>
      <x:c r="D3" s="34" t="n">
        <x:v>148</x:v>
      </x:c>
      <x:c r="E3" s="34" t="n">
        <x:v>21419</x:v>
      </x:c>
      <x:c r="F3" s="34" t="n">
        <x:v>21228</x:v>
      </x:c>
      <x:c r="G3" s="34" t="n">
        <x:v>21414</x:v>
      </x:c>
      <x:c r="H3" s="21" t="str"/>
      <x:c r="I3" s="21" t="str">
        <x:v>https://www.premiumtimesng.com/news/top-news/903305-updated-osundecides2026-inec-declares-accords-ademola-adeleke-winner-of-governorship-election.html</x:v>
      </x:c>
      <x:c r="J3" s="21" t="str">
        <x:v>https://punchng.com/breaking-adeleke-wins-19-lgs-apcs-oyebamiji-secures-11-lgs/</x:v>
      </x:c>
    </x:row>
    <x:row r="4">
      <x:c r="A4" t="str">
        <x:v>Atakunmosa East</x:v>
      </x:c>
      <x:c r="B4" s="34" t="n">
        <x:v>7872</x:v>
      </x:c>
      <x:c r="C4" s="34" t="n">
        <x:v>9936</x:v>
      </x:c>
      <x:c r="D4" s="34" t="n">
        <x:v>333</x:v>
      </x:c>
      <x:c r="E4" s="34" t="n">
        <x:v>19253</x:v>
      </x:c>
      <x:c r="F4" s="34" t="n">
        <x:v>18442</x:v>
      </x:c>
      <x:c r="G4" s="34" t="n">
        <x:v>18823</x:v>
      </x:c>
      <x:c r="H4" s="21" t="str">
        <x:v>Accreditation source conflict: Punch reports 19,253; Channels live collation text reports 19,257. Selected 19,253 provisionally because the complete 30-LGA accredited sum then reconciles to the statewide declared total after the Orolu correction. Primary EC8C/result-sheet verification still required.</x:v>
      </x:c>
      <x:c r="I4" s="21" t="str">
        <x:v>https://www.premiumtimesng.com/news/top-news/903305-updated-osundecides2026-inec-declares-accords-ademola-adeleke-winner-of-governorship-election.html</x:v>
      </x:c>
      <x:c r="J4" s="21" t="str">
        <x:v>Punch: https://punchng.com/breaking-adeleke-wins-19-lgs-apcs-oyebamiji-secures-11-lgs/ | Channels: https://www.channelstv.com/election/live-updates-osun-2026-election/</x:v>
      </x:c>
    </x:row>
    <x:row r="5">
      <x:c r="A5" t="str">
        <x:v>Atakunmosa West</x:v>
      </x:c>
      <x:c r="B5" s="34" t="n">
        <x:v>7479</x:v>
      </x:c>
      <x:c r="C5" s="34" t="n">
        <x:v>10037</x:v>
      </x:c>
      <x:c r="D5" s="34" t="n">
        <x:v>213</x:v>
      </x:c>
      <x:c r="E5" s="34" t="n">
        <x:v>18707</x:v>
      </x:c>
      <x:c r="F5" s="34" t="n">
        <x:v>17985</x:v>
      </x:c>
      <x:c r="G5" s="34" t="n">
        <x:v>18399</x:v>
      </x:c>
      <x:c r="H5" s="21" t="str"/>
      <x:c r="I5" s="21" t="str">
        <x:v>https://www.premiumtimesng.com/news/top-news/903305-updated-osundecides2026-inec-declares-accords-ademola-adeleke-winner-of-governorship-election.html</x:v>
      </x:c>
      <x:c r="J5" s="21" t="str">
        <x:v>https://punchng.com/breaking-adeleke-wins-19-lgs-apcs-oyebamiji-secures-11-lgs/</x:v>
      </x:c>
    </x:row>
    <x:row r="6">
      <x:c r="A6" t="str">
        <x:v>Boluwaduro</x:v>
      </x:c>
      <x:c r="B6" s="34" t="n">
        <x:v>7118</x:v>
      </x:c>
      <x:c r="C6" s="34" t="n">
        <x:v>7050</x:v>
      </x:c>
      <x:c r="D6" s="34" t="n">
        <x:v>179</x:v>
      </x:c>
      <x:c r="E6" s="34" t="n">
        <x:v>14662</x:v>
      </x:c>
      <x:c r="F6" s="34" t="n">
        <x:v>14478</x:v>
      </x:c>
      <x:c r="G6" s="34" t="n">
        <x:v>14655</x:v>
      </x:c>
      <x:c r="H6" s="21" t="str"/>
      <x:c r="I6" s="21" t="str">
        <x:v>https://www.premiumtimesng.com/news/top-news/903305-updated-osundecides2026-inec-declares-accords-ademola-adeleke-winner-of-governorship-election.html</x:v>
      </x:c>
      <x:c r="J6" s="21" t="str">
        <x:v>https://punchng.com/breaking-adeleke-wins-19-lgs-apcs-oyebamiji-secures-11-lgs/</x:v>
      </x:c>
    </x:row>
    <x:row r="7">
      <x:c r="A7" t="str">
        <x:v>Boripe</x:v>
      </x:c>
      <x:c r="B7" s="34" t="n">
        <x:v>12448</x:v>
      </x:c>
      <x:c r="C7" s="34" t="n">
        <x:v>19963</x:v>
      </x:c>
      <x:c r="D7" s="34" t="n">
        <x:v>379</x:v>
      </x:c>
      <x:c r="E7" s="34" t="n">
        <x:v>33943</x:v>
      </x:c>
      <x:c r="F7" s="34" t="n">
        <x:v>33116</x:v>
      </x:c>
      <x:c r="G7" s="34" t="n">
        <x:v>33713</x:v>
      </x:c>
      <x:c r="H7" s="21" t="str"/>
      <x:c r="I7" s="21" t="str">
        <x:v>https://www.premiumtimesng.com/news/top-news/903305-updated-osundecides2026-inec-declares-accords-ademola-adeleke-winner-of-governorship-election.html</x:v>
      </x:c>
      <x:c r="J7" s="21" t="str">
        <x:v>https://punchng.com/breaking-adeleke-wins-19-lgs-apcs-oyebamiji-secures-11-lgs/</x:v>
      </x:c>
    </x:row>
    <x:row r="8">
      <x:c r="A8" t="str">
        <x:v>Ede North</x:v>
      </x:c>
      <x:c r="B8" s="34" t="n">
        <x:v>35427</x:v>
      </x:c>
      <x:c r="C8" s="34" t="n">
        <x:v>10283</x:v>
      </x:c>
      <x:c r="D8" s="34" t="n">
        <x:v>307</x:v>
      </x:c>
      <x:c r="E8" s="34" t="n">
        <x:v>47262</x:v>
      </x:c>
      <x:c r="F8" s="34" t="n">
        <x:v>46474</x:v>
      </x:c>
      <x:c r="G8" s="34" t="n">
        <x:v>47205</x:v>
      </x:c>
      <x:c r="H8" s="21" t="str"/>
      <x:c r="I8" s="21" t="str">
        <x:v>https://www.premiumtimesng.com/news/top-news/903305-updated-osundecides2026-inec-declares-accords-ademola-adeleke-winner-of-governorship-election.html</x:v>
      </x:c>
      <x:c r="J8" s="21" t="str">
        <x:v>https://punchng.com/breaking-adeleke-wins-19-lgs-apcs-oyebamiji-secures-11-lgs/</x:v>
      </x:c>
    </x:row>
    <x:row r="9">
      <x:c r="A9" t="str">
        <x:v>Ede South</x:v>
      </x:c>
      <x:c r="B9" s="34" t="n">
        <x:v>26188</x:v>
      </x:c>
      <x:c r="C9" s="34" t="n">
        <x:v>6219</x:v>
      </x:c>
      <x:c r="D9" s="34" t="n">
        <x:v>390</x:v>
      </x:c>
      <x:c r="E9" s="34" t="n">
        <x:v>34011</x:v>
      </x:c>
      <x:c r="F9" s="34" t="n">
        <x:v>33210</x:v>
      </x:c>
      <x:c r="G9" s="34" t="n">
        <x:v>33950</x:v>
      </x:c>
      <x:c r="H9" s="21" t="str"/>
      <x:c r="I9" s="21" t="str">
        <x:v>https://www.premiumtimesng.com/news/top-news/903305-updated-osundecides2026-inec-declares-accords-ademola-adeleke-winner-of-governorship-election.html</x:v>
      </x:c>
      <x:c r="J9" s="21" t="str">
        <x:v>https://punchng.com/breaking-adeleke-wins-19-lgs-apcs-oyebamiji-secures-11-lgs/</x:v>
      </x:c>
    </x:row>
    <x:row r="10">
      <x:c r="A10" t="str">
        <x:v>Egbedore</x:v>
      </x:c>
      <x:c r="B10" s="34" t="n">
        <x:v>19278</x:v>
      </x:c>
      <x:c r="C10" s="34" t="n">
        <x:v>11194</x:v>
      </x:c>
      <x:c r="D10" s="34" t="n">
        <x:v>363</x:v>
      </x:c>
      <x:c r="E10" s="34" t="n">
        <x:v>31867</x:v>
      </x:c>
      <x:c r="F10" s="34" t="n">
        <x:v>31155</x:v>
      </x:c>
      <x:c r="G10" s="34" t="n">
        <x:v>31830</x:v>
      </x:c>
      <x:c r="H10" s="21" t="str"/>
      <x:c r="I10" s="21" t="str">
        <x:v>https://www.premiumtimesng.com/news/top-news/903305-updated-osundecides2026-inec-declares-accords-ademola-adeleke-winner-of-governorship-election.html</x:v>
      </x:c>
      <x:c r="J10" s="21" t="str">
        <x:v>https://punchng.com/breaking-adeleke-wins-19-lgs-apcs-oyebamiji-secures-11-lgs/</x:v>
      </x:c>
    </x:row>
    <x:row r="11">
      <x:c r="A11" t="str">
        <x:v>Ejigbo</x:v>
      </x:c>
      <x:c r="B11" s="34" t="n">
        <x:v>18458</x:v>
      </x:c>
      <x:c r="C11" s="34" t="n">
        <x:v>16195</x:v>
      </x:c>
      <x:c r="D11" s="34" t="n">
        <x:v>5053</x:v>
      </x:c>
      <x:c r="E11" s="34" t="n">
        <x:v>41173</x:v>
      </x:c>
      <x:c r="F11" s="34" t="n">
        <x:v>40314</x:v>
      </x:c>
      <x:c r="G11" s="34" t="n">
        <x:v>41125</x:v>
      </x:c>
      <x:c r="H11" s="21" t="str"/>
      <x:c r="I11" s="21" t="str">
        <x:v>https://www.premiumtimesng.com/news/top-news/903305-updated-osundecides2026-inec-declares-accords-ademola-adeleke-winner-of-governorship-election.html</x:v>
      </x:c>
      <x:c r="J11" s="21" t="str">
        <x:v>https://punchng.com/breaking-adeleke-wins-19-lgs-apcs-oyebamiji-secures-11-lgs/</x:v>
      </x:c>
    </x:row>
    <x:row r="12">
      <x:c r="A12" t="str">
        <x:v>Ife Central</x:v>
      </x:c>
      <x:c r="B12" s="34" t="n">
        <x:v>21171</x:v>
      </x:c>
      <x:c r="C12" s="34" t="n">
        <x:v>15913</x:v>
      </x:c>
      <x:c r="D12" s="34" t="n">
        <x:v>747</x:v>
      </x:c>
      <x:c r="E12" s="34" t="n">
        <x:v>39990</x:v>
      </x:c>
      <x:c r="F12" s="34" t="n">
        <x:v>38380</x:v>
      </x:c>
      <x:c r="G12" s="34" t="n">
        <x:v>39330</x:v>
      </x:c>
      <x:c r="H12" s="21" t="str"/>
      <x:c r="I12" s="21" t="str">
        <x:v>https://www.premiumtimesng.com/news/top-news/903305-updated-osundecides2026-inec-declares-accords-ademola-adeleke-winner-of-governorship-election.html</x:v>
      </x:c>
      <x:c r="J12" s="21" t="str">
        <x:v>https://punchng.com/breaking-adeleke-wins-19-lgs-apcs-oyebamiji-secures-11-lgs/</x:v>
      </x:c>
    </x:row>
    <x:row r="13">
      <x:c r="A13" t="str">
        <x:v>Ife East</x:v>
      </x:c>
      <x:c r="B13" s="34" t="n">
        <x:v>27201</x:v>
      </x:c>
      <x:c r="C13" s="34" t="n">
        <x:v>18600</x:v>
      </x:c>
      <x:c r="D13" s="34" t="n">
        <x:v>935</x:v>
      </x:c>
      <x:c r="E13" s="34" t="n">
        <x:v>49065</x:v>
      </x:c>
      <x:c r="F13" s="34" t="n">
        <x:v>47519</x:v>
      </x:c>
      <x:c r="G13" s="34" t="n">
        <x:v>49017</x:v>
      </x:c>
      <x:c r="H13" s="21" t="str"/>
      <x:c r="I13" s="21" t="str">
        <x:v>https://www.premiumtimesng.com/news/top-news/903305-updated-osundecides2026-inec-declares-accords-ademola-adeleke-winner-of-governorship-election.html</x:v>
      </x:c>
      <x:c r="J13" s="21" t="str">
        <x:v>https://punchng.com/breaking-adeleke-wins-19-lgs-apcs-oyebamiji-secures-11-lgs/</x:v>
      </x:c>
    </x:row>
    <x:row r="14">
      <x:c r="A14" t="str">
        <x:v>Ife North</x:v>
      </x:c>
      <x:c r="B14" s="34" t="n">
        <x:v>13879</x:v>
      </x:c>
      <x:c r="C14" s="34" t="n">
        <x:v>9613</x:v>
      </x:c>
      <x:c r="D14" s="34" t="n">
        <x:v>333</x:v>
      </x:c>
      <x:c r="E14" s="34" t="n">
        <x:v>24772</x:v>
      </x:c>
      <x:c r="F14" s="34" t="n">
        <x:v>24216</x:v>
      </x:c>
      <x:c r="G14" s="34" t="n">
        <x:v>24704</x:v>
      </x:c>
      <x:c r="H14" s="21" t="str"/>
      <x:c r="I14" s="21" t="str">
        <x:v>https://www.premiumtimesng.com/news/top-news/903305-updated-osundecides2026-inec-declares-accords-ademola-adeleke-winner-of-governorship-election.html</x:v>
      </x:c>
      <x:c r="J14" s="21" t="str">
        <x:v>https://punchng.com/breaking-adeleke-wins-19-lgs-apcs-oyebamiji-secures-11-lgs/</x:v>
      </x:c>
    </x:row>
    <x:row r="15">
      <x:c r="A15" t="str">
        <x:v>Ife South</x:v>
      </x:c>
      <x:c r="B15" s="34" t="n">
        <x:v>13507</x:v>
      </x:c>
      <x:c r="C15" s="34" t="n">
        <x:v>14678</x:v>
      </x:c>
      <x:c r="D15" s="34" t="n">
        <x:v>290</x:v>
      </x:c>
      <x:c r="E15" s="34" t="n">
        <x:v>29521</x:v>
      </x:c>
      <x:c r="F15" s="34" t="n">
        <x:v>28906</x:v>
      </x:c>
      <x:c r="G15" s="34" t="n">
        <x:v>29461</x:v>
      </x:c>
      <x:c r="H15" s="21" t="str"/>
      <x:c r="I15" s="21" t="str">
        <x:v>https://www.premiumtimesng.com/news/top-news/903305-updated-osundecides2026-inec-declares-accords-ademola-adeleke-winner-of-governorship-election.html</x:v>
      </x:c>
      <x:c r="J15" s="21" t="str">
        <x:v>https://punchng.com/breaking-adeleke-wins-19-lgs-apcs-oyebamiji-secures-11-lgs/</x:v>
      </x:c>
    </x:row>
    <x:row r="16">
      <x:c r="A16" t="str">
        <x:v>Ifedayo</x:v>
      </x:c>
      <x:c r="B16" s="34" t="n">
        <x:v>7427</x:v>
      </x:c>
      <x:c r="C16" s="34" t="n">
        <x:v>6836</x:v>
      </x:c>
      <x:c r="D16" s="34" t="n">
        <x:v>115</x:v>
      </x:c>
      <x:c r="E16" s="34" t="n">
        <x:v>14703</x:v>
      </x:c>
      <x:c r="F16" s="34" t="n">
        <x:v>14449</x:v>
      </x:c>
      <x:c r="G16" s="34" t="n">
        <x:v>14703</x:v>
      </x:c>
      <x:c r="H16" s="21" t="str">
        <x:v>Punch transcribed total valid votes as 1,449. Channels' detailed collation record reports 14,449; the individual party totals are consistent with 14,449. Corrected to 14,449.</x:v>
      </x:c>
      <x:c r="I16" s="21" t="str">
        <x:v>https://www.premiumtimesng.com/news/top-news/903305-updated-osundecides2026-inec-declares-accords-ademola-adeleke-winner-of-governorship-election.html</x:v>
      </x:c>
      <x:c r="J16" s="21" t="str">
        <x:v>https://x.com/channelstv/status/2088810688395292751</x:v>
      </x:c>
    </x:row>
    <x:row r="17">
      <x:c r="A17" t="str">
        <x:v>Ifelodun</x:v>
      </x:c>
      <x:c r="B17" s="34" t="n">
        <x:v>21107</x:v>
      </x:c>
      <x:c r="C17" s="34" t="n">
        <x:v>18396</x:v>
      </x:c>
      <x:c r="D17" s="34" t="n">
        <x:v>509</x:v>
      </x:c>
      <x:c r="E17" s="34" t="n">
        <x:v>41156</x:v>
      </x:c>
      <x:c r="F17" s="34" t="n">
        <x:v>40466</x:v>
      </x:c>
      <x:c r="G17" s="34" t="n">
        <x:v>41143</x:v>
      </x:c>
      <x:c r="H17" s="21" t="str"/>
      <x:c r="I17" s="21" t="str">
        <x:v>https://www.premiumtimesng.com/news/top-news/903305-updated-osundecides2026-inec-declares-accords-ademola-adeleke-winner-of-governorship-election.html</x:v>
      </x:c>
      <x:c r="J17" s="21" t="str">
        <x:v>https://punchng.com/breaking-adeleke-wins-19-lgs-apcs-oyebamiji-secures-11-lgs/</x:v>
      </x:c>
    </x:row>
    <x:row r="18">
      <x:c r="A18" t="str">
        <x:v>Ila</x:v>
      </x:c>
      <x:c r="B18" s="34" t="n">
        <x:v>16211</x:v>
      </x:c>
      <x:c r="C18" s="34" t="n">
        <x:v>12934</x:v>
      </x:c>
      <x:c r="D18" s="34" t="n">
        <x:v>259</x:v>
      </x:c>
      <x:c r="E18" s="34" t="n">
        <x:v>30028</x:v>
      </x:c>
      <x:c r="F18" s="34" t="n">
        <x:v>29605</x:v>
      </x:c>
      <x:c r="G18" s="34" t="n">
        <x:v>30021</x:v>
      </x:c>
      <x:c r="H18" s="21" t="str"/>
      <x:c r="I18" s="21" t="str">
        <x:v>https://www.premiumtimesng.com/news/top-news/903305-updated-osundecides2026-inec-declares-accords-ademola-adeleke-winner-of-governorship-election.html</x:v>
      </x:c>
      <x:c r="J18" s="21" t="str">
        <x:v>https://punchng.com/breaking-adeleke-wins-19-lgs-apcs-oyebamiji-secures-11-lgs/</x:v>
      </x:c>
    </x:row>
    <x:row r="19">
      <x:c r="A19" t="str">
        <x:v>Ilesa East</x:v>
      </x:c>
      <x:c r="B19" s="34" t="n">
        <x:v>12280</x:v>
      </x:c>
      <x:c r="C19" s="34" t="n">
        <x:v>16208</x:v>
      </x:c>
      <x:c r="D19" s="34" t="n">
        <x:v>504</x:v>
      </x:c>
      <x:c r="E19" s="34" t="n">
        <x:v>30371</x:v>
      </x:c>
      <x:c r="F19" s="34" t="n">
        <x:v>29460</x:v>
      </x:c>
      <x:c r="G19" s="34" t="n">
        <x:v>30209</x:v>
      </x:c>
      <x:c r="H19" s="21" t="str"/>
      <x:c r="I19" s="21" t="str">
        <x:v>https://www.premiumtimesng.com/news/top-news/903305-updated-osundecides2026-inec-declares-accords-ademola-adeleke-winner-of-governorship-election.html</x:v>
      </x:c>
      <x:c r="J19" s="21" t="str">
        <x:v>https://punchng.com/breaking-adeleke-wins-19-lgs-apcs-oyebamiji-secures-11-lgs/</x:v>
      </x:c>
    </x:row>
    <x:row r="20">
      <x:c r="A20" t="str">
        <x:v>Ilesa West</x:v>
      </x:c>
      <x:c r="B20" s="34" t="n">
        <x:v>16196</x:v>
      </x:c>
      <x:c r="C20" s="34" t="n">
        <x:v>12756</x:v>
      </x:c>
      <x:c r="D20" s="34" t="n">
        <x:v>673</x:v>
      </x:c>
      <x:c r="E20" s="34" t="n">
        <x:v>31333</x:v>
      </x:c>
      <x:c r="F20" s="34" t="n">
        <x:v>30244</x:v>
      </x:c>
      <x:c r="G20" s="34" t="n">
        <x:v>31234</x:v>
      </x:c>
      <x:c r="H20" s="21" t="str"/>
      <x:c r="I20" s="21" t="str">
        <x:v>https://www.premiumtimesng.com/news/top-news/903305-updated-osundecides2026-inec-declares-accords-ademola-adeleke-winner-of-governorship-election.html</x:v>
      </x:c>
      <x:c r="J20" s="21" t="str">
        <x:v>https://punchng.com/breaking-adeleke-wins-19-lgs-apcs-oyebamiji-secures-11-lgs/</x:v>
      </x:c>
    </x:row>
    <x:row r="21">
      <x:c r="A21" t="str">
        <x:v>Irepodun</x:v>
      </x:c>
      <x:c r="B21" s="34" t="n">
        <x:v>14504</x:v>
      </x:c>
      <x:c r="C21" s="34" t="n">
        <x:v>15713</x:v>
      </x:c>
      <x:c r="D21" s="34" t="n">
        <x:v>249</x:v>
      </x:c>
      <x:c r="E21" s="34" t="n">
        <x:v>31291</x:v>
      </x:c>
      <x:c r="F21" s="34" t="n">
        <x:v>30717</x:v>
      </x:c>
      <x:c r="G21" s="34" t="n">
        <x:v>31282</x:v>
      </x:c>
      <x:c r="H21" s="21" t="str"/>
      <x:c r="I21" s="21" t="str">
        <x:v>https://www.premiumtimesng.com/news/top-news/903305-updated-osundecides2026-inec-declares-accords-ademola-adeleke-winner-of-governorship-election.html</x:v>
      </x:c>
      <x:c r="J21" s="21" t="str">
        <x:v>https://punchng.com/breaking-adeleke-wins-19-lgs-apcs-oyebamiji-secures-11-lgs/</x:v>
      </x:c>
    </x:row>
    <x:row r="22">
      <x:c r="A22" t="str">
        <x:v>Irewole</x:v>
      </x:c>
      <x:c r="B22" s="34" t="n">
        <x:v>10934</x:v>
      </x:c>
      <x:c r="C22" s="34" t="n">
        <x:v>29972</x:v>
      </x:c>
      <x:c r="D22" s="34" t="n">
        <x:v>275</x:v>
      </x:c>
      <x:c r="E22" s="34" t="n">
        <x:v>42858</x:v>
      </x:c>
      <x:c r="F22" s="34" t="n">
        <x:v>41575</x:v>
      </x:c>
      <x:c r="G22" s="34" t="n">
        <x:v>42824</x:v>
      </x:c>
      <x:c r="H22" s="21" t="str">
        <x:v>Cross-source conflict documented. Punch reports 41,575 valid and 42,824 cast. Channels live-page text prints 41,475 valid and 42,724 cast, but its 15 listed party votes sum to 41,575; adding 1,249 rejected gives 42,824. Retained 41,575 / 42,824.</x:v>
      </x:c>
      <x:c r="I22" s="21" t="str">
        <x:v>https://www.premiumtimesng.com/news/top-news/903305-updated-osundecides2026-inec-declares-accords-ademola-adeleke-winner-of-governorship-election.html</x:v>
      </x:c>
      <x:c r="J22" s="21" t="str">
        <x:v>https://www.channelstv.com/election/live-updates-osun-2026-election/ | https://www.legit.ng/politics/1725368-osun-election-2026-official-lga-results-inec-live-updates/</x:v>
      </x:c>
    </x:row>
    <x:row r="23">
      <x:c r="A23" t="str">
        <x:v>Isokan</x:v>
      </x:c>
      <x:c r="B23" s="34" t="n">
        <x:v>13765</x:v>
      </x:c>
      <x:c r="C23" s="34" t="n">
        <x:v>14063</x:v>
      </x:c>
      <x:c r="D23" s="34" t="n">
        <x:v>384</x:v>
      </x:c>
      <x:c r="E23" s="34" t="n">
        <x:v>29421</x:v>
      </x:c>
      <x:c r="F23" s="34" t="n">
        <x:v>28716</x:v>
      </x:c>
      <x:c r="G23" s="34" t="n">
        <x:v>29405</x:v>
      </x:c>
      <x:c r="H23" s="21" t="str">
        <x:v>Source conflict resolved for working dataset: Punch reported 28,715 valid votes; Channels reports 28,716. The 15 party vote totals on Channels sum to 28,716, and 28,716 + 689 rejected = 29,405 votes cast. Selected 28,716.</x:v>
      </x:c>
      <x:c r="I23" s="21" t="str">
        <x:v>https://www.premiumtimesng.com/news/top-news/903305-updated-osundecides2026-inec-declares-accords-ademola-adeleke-winner-of-governorship-election.html</x:v>
      </x:c>
      <x:c r="J23" s="21" t="str">
        <x:v>https://www.channelstv.com/election/live-updates-osun-2026-election/</x:v>
      </x:c>
    </x:row>
    <x:row r="24">
      <x:c r="A24" t="str">
        <x:v>Iwo</x:v>
      </x:c>
      <x:c r="B24" s="34" t="n">
        <x:v>27085</x:v>
      </x:c>
      <x:c r="C24" s="34" t="n">
        <x:v>19660</x:v>
      </x:c>
      <x:c r="D24" s="34" t="n">
        <x:v>588</x:v>
      </x:c>
      <x:c r="E24" s="34" t="n">
        <x:v>48985</x:v>
      </x:c>
      <x:c r="F24" s="34" t="n">
        <x:v>48027</x:v>
      </x:c>
      <x:c r="G24" s="34" t="n">
        <x:v>48953</x:v>
      </x:c>
      <x:c r="H24" s="21" t="str"/>
      <x:c r="I24" s="21" t="str">
        <x:v>https://www.premiumtimesng.com/news/top-news/903305-updated-osundecides2026-inec-declares-accords-ademola-adeleke-winner-of-governorship-election.html</x:v>
      </x:c>
      <x:c r="J24" s="21" t="str">
        <x:v>https://punchng.com/breaking-adeleke-wins-19-lgs-apcs-oyebamiji-secures-11-lgs/</x:v>
      </x:c>
    </x:row>
    <x:row r="25">
      <x:c r="A25" t="str">
        <x:v>Obokun</x:v>
      </x:c>
      <x:c r="B25" s="34" t="n">
        <x:v>12023</x:v>
      </x:c>
      <x:c r="C25" s="34" t="n">
        <x:v>16120</x:v>
      </x:c>
      <x:c r="D25" s="34" t="n">
        <x:v>205</x:v>
      </x:c>
      <x:c r="E25" s="34" t="n">
        <x:v>29183</x:v>
      </x:c>
      <x:c r="F25" s="34" t="n">
        <x:v>28687</x:v>
      </x:c>
      <x:c r="G25" s="34" t="n">
        <x:v>29147</x:v>
      </x:c>
      <x:c r="H25" s="21" t="str"/>
      <x:c r="I25" s="21" t="str">
        <x:v>https://www.premiumtimesng.com/news/top-news/903305-updated-osundecides2026-inec-declares-accords-ademola-adeleke-winner-of-governorship-election.html</x:v>
      </x:c>
      <x:c r="J25" s="21" t="str">
        <x:v>https://punchng.com/breaking-adeleke-wins-19-lgs-apcs-oyebamiji-secures-11-lgs/</x:v>
      </x:c>
    </x:row>
    <x:row r="26">
      <x:c r="A26" t="str">
        <x:v>Odo Otin</x:v>
      </x:c>
      <x:c r="B26" s="34" t="n">
        <x:v>18003</x:v>
      </x:c>
      <x:c r="C26" s="34" t="n">
        <x:v>15435</x:v>
      </x:c>
      <x:c r="D26" s="34" t="n">
        <x:v>377</x:v>
      </x:c>
      <x:c r="E26" s="34" t="n">
        <x:v>34482</x:v>
      </x:c>
      <x:c r="F26" s="34" t="n">
        <x:v>34026</x:v>
      </x:c>
      <x:c r="G26" s="34" t="n">
        <x:v>34456</x:v>
      </x:c>
      <x:c r="H26" s="21" t="str"/>
      <x:c r="I26" s="21" t="str">
        <x:v>https://www.premiumtimesng.com/news/top-news/903305-updated-osundecides2026-inec-declares-accords-ademola-adeleke-winner-of-governorship-election.html</x:v>
      </x:c>
      <x:c r="J26" s="21" t="str">
        <x:v>https://punchng.com/breaking-adeleke-wins-19-lgs-apcs-oyebamiji-secures-11-lgs/</x:v>
      </x:c>
    </x:row>
    <x:row r="27">
      <x:c r="A27" t="str">
        <x:v>Ola Oluwa</x:v>
      </x:c>
      <x:c r="B27" s="34" t="n">
        <x:v>10063</x:v>
      </x:c>
      <x:c r="C27" s="34" t="n">
        <x:v>10782</x:v>
      </x:c>
      <x:c r="D27" s="34" t="n">
        <x:v>213</x:v>
      </x:c>
      <x:c r="E27" s="34" t="n">
        <x:v>21599</x:v>
      </x:c>
      <x:c r="F27" s="34" t="n">
        <x:v>21228</x:v>
      </x:c>
      <x:c r="G27" s="34" t="n">
        <x:v>21595</x:v>
      </x:c>
      <x:c r="H27" s="21" t="str"/>
      <x:c r="I27" s="21" t="str">
        <x:v>https://www.premiumtimesng.com/news/top-news/903305-updated-osundecides2026-inec-declares-accords-ademola-adeleke-winner-of-governorship-election.html</x:v>
      </x:c>
      <x:c r="J27" s="21" t="str">
        <x:v>https://punchng.com/breaking-adeleke-wins-19-lgs-apcs-oyebamiji-secures-11-lgs/</x:v>
      </x:c>
    </x:row>
    <x:row r="28">
      <x:c r="A28" t="str">
        <x:v>Olorunda</x:v>
      </x:c>
      <x:c r="B28" s="34" t="n">
        <x:v>23514</x:v>
      </x:c>
      <x:c r="C28" s="34" t="n">
        <x:v>24671</x:v>
      </x:c>
      <x:c r="D28" s="34" t="n">
        <x:v>666</x:v>
      </x:c>
      <x:c r="E28" s="34" t="n">
        <x:v>51172</x:v>
      </x:c>
      <x:c r="F28" s="34" t="n">
        <x:v>49458</x:v>
      </x:c>
      <x:c r="G28" s="34" t="n">
        <x:v>50793</x:v>
      </x:c>
      <x:c r="H28" s="21" t="str"/>
      <x:c r="I28" s="21" t="str">
        <x:v>https://www.premiumtimesng.com/news/top-news/903305-updated-osundecides2026-inec-declares-accords-ademola-adeleke-winner-of-governorship-election.html</x:v>
      </x:c>
      <x:c r="J28" s="21" t="str">
        <x:v>https://punchng.com/breaking-adeleke-wins-19-lgs-apcs-oyebamiji-secures-11-lgs/</x:v>
      </x:c>
    </x:row>
    <x:row r="29">
      <x:c r="A29" t="str">
        <x:v>Oriade</x:v>
      </x:c>
      <x:c r="B29" s="34" t="n">
        <x:v>21343</x:v>
      </x:c>
      <x:c r="C29" s="34" t="n">
        <x:v>14863</x:v>
      </x:c>
      <x:c r="D29" s="34" t="n">
        <x:v>423</x:v>
      </x:c>
      <x:c r="E29" s="34" t="n">
        <x:v>37962</x:v>
      </x:c>
      <x:c r="F29" s="34" t="n">
        <x:v>37073</x:v>
      </x:c>
      <x:c r="G29" s="34" t="n">
        <x:v>37933</x:v>
      </x:c>
      <x:c r="H29" s="21" t="str"/>
      <x:c r="I29" s="21" t="str">
        <x:v>https://www.premiumtimesng.com/news/top-news/903305-updated-osundecides2026-inec-declares-accords-ademola-adeleke-winner-of-governorship-election.html</x:v>
      </x:c>
      <x:c r="J29" s="21" t="str">
        <x:v>https://punchng.com/breaking-adeleke-wins-19-lgs-apcs-oyebamiji-secures-11-lgs/</x:v>
      </x:c>
    </x:row>
    <x:row r="30">
      <x:c r="A30" t="str">
        <x:v>Orolu</x:v>
      </x:c>
      <x:c r="B30" s="34" t="n">
        <x:v>12352</x:v>
      </x:c>
      <x:c r="C30" s="34" t="n">
        <x:v>10622</x:v>
      </x:c>
      <x:c r="D30" s="34" t="n">
        <x:v>236</x:v>
      </x:c>
      <x:c r="E30" s="34" t="n">
        <x:v>25423</x:v>
      </x:c>
      <x:c r="F30" s="34" t="n">
        <x:v>23438</x:v>
      </x:c>
      <x:c r="G30" s="34" t="n">
        <x:v>23890</x:v>
      </x:c>
      <x:c r="H30" s="21" t="str">
        <x:v>Source conflict resolved for working dataset: Punch reported 25,424 accredited; Channels collation record reports 25,423. Selected 25,423 because it also reconciles the 30-LGA accredited-voter sum exactly to the statewide declared total of 1,010,684.</x:v>
      </x:c>
      <x:c r="I30" s="21" t="str">
        <x:v>https://www.premiumtimesng.com/news/top-news/903305-updated-osundecides2026-inec-declares-accords-ademola-adeleke-winner-of-governorship-election.html</x:v>
      </x:c>
      <x:c r="J30" s="21" t="str">
        <x:v>https://www.channelstv.com/election/live-updates-osun-2026-election/</x:v>
      </x:c>
    </x:row>
    <x:row r="31">
      <x:c r="A31" t="str">
        <x:v>Osogbo</x:v>
      </x:c>
      <x:c r="B31" s="34" t="n">
        <x:v>36480</x:v>
      </x:c>
      <x:c r="C31" s="34" t="n">
        <x:v>30474</x:v>
      </x:c>
      <x:c r="D31" s="34" t="n">
        <x:v>1503</x:v>
      </x:c>
      <x:c r="E31" s="34" t="n">
        <x:v>70840</x:v>
      </x:c>
      <x:c r="F31" s="34" t="n">
        <x:v>69307</x:v>
      </x:c>
      <x:c r="G31" s="34" t="n">
        <x:v>70785</x:v>
      </x:c>
      <x:c r="H31" s="21" t="str"/>
      <x:c r="I31" s="21" t="str">
        <x:v>https://www.premiumtimesng.com/news/top-news/903305-updated-osundecides2026-inec-declares-accords-ademola-adeleke-winner-of-governorship-election.html</x:v>
      </x:c>
      <x:c r="J31" s="21" t="str">
        <x:v>https://punchng.com/breaking-adeleke-wins-19-lgs-apcs-oyebamiji-secures-11-lgs/</x:v>
      </x:c>
    </x:row>
  </x:sheetData>
  <x:pageMargins left="0.7" right="0.7" top="0.75" bottom="0.75" header="0.3" footer="0.3"/>
  <x:tableParts count="1">
    <x:tablePart xmlns:r="http://schemas.openxmlformats.org/officeDocument/2006/relationships" r:id="R02a2f278480c47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72" hidden="0" customWidth="1"/>
  </x:cols>
  <x:sheetData>
    <x:row r="1">
      <x:c r="A1" s="4" t="str">
        <x:v>Data Quality &amp; Source Log</x:v>
      </x:c>
      <x:c r="B1" s="4"/>
      <x:c r="C1" s="4"/>
      <x:c r="D1" s="4"/>
      <x:c r="E1" s="4"/>
      <x:c r="F1" s="20"/>
    </x:row>
    <x:row r="3">
      <x:c r="A3" s="29" t="str">
        <x:v>Check</x:v>
      </x:c>
      <x:c r="B3" s="29" t="str">
        <x:v>LGA Sum</x:v>
      </x:c>
      <x:c r="C3" s="29" t="str">
        <x:v>Official State Total</x:v>
      </x:c>
      <x:c r="D3" s="29" t="str">
        <x:v>Difference</x:v>
      </x:c>
      <x:c r="E3" s="29" t="str">
        <x:v>Status</x:v>
      </x:c>
      <x:c r="F3" s="29" t="str">
        <x:v>Note</x:v>
      </x:c>
    </x:row>
    <x:row r="4">
      <x:c r="A4" t="str">
        <x:v>2022 Adeleke votes</x:v>
      </x:c>
      <x:c r="B4" s="34" t="n">
        <x:f>SUM(Results_2022!C2:C31)</x:f>
        <x:v>403371</x:v>
      </x:c>
      <x:c r="C4" s="34" t="n">
        <x:v>403371</x:v>
      </x:c>
      <x:c r="D4" s="34" t="n">
        <x:f>B4-C4</x:f>
        <x:v>0</x:v>
      </x:c>
      <x:c r="E4" t="str">
        <x:f>IF(D4=0,"PASS","REVIEW")</x:f>
        <x:v>PASS</x:v>
      </x:c>
    </x:row>
    <x:row r="5">
      <x:c r="A5" t="str">
        <x:v>2022 APC votes</x:v>
      </x:c>
      <x:c r="B5" s="34" t="n">
        <x:f>SUM(Results_2022!B2:B31)</x:f>
        <x:v>375027</x:v>
      </x:c>
      <x:c r="C5" s="34" t="n">
        <x:v>375027</x:v>
      </x:c>
      <x:c r="D5" s="34" t="n">
        <x:f>B5-C5</x:f>
        <x:v>0</x:v>
      </x:c>
      <x:c r="E5" t="str">
        <x:f>IF(D5=0,"PASS","REVIEW")</x:f>
        <x:v>PASS</x:v>
      </x:c>
    </x:row>
    <x:row r="6">
      <x:c r="A6" t="str">
        <x:v>2022 valid votes</x:v>
      </x:c>
      <x:c r="B6" s="34" t="n">
        <x:f>SUM(Results_2022!E2:E31)</x:f>
        <x:v>804450</x:v>
      </x:c>
      <x:c r="C6" s="34" t="n">
        <x:v>804450</x:v>
      </x:c>
      <x:c r="D6" s="34" t="n">
        <x:f>B6-C6</x:f>
        <x:v>0</x:v>
      </x:c>
      <x:c r="E6" t="str">
        <x:f>IF(D6=0,"PASS","REVIEW")</x:f>
        <x:v>PASS</x:v>
      </x:c>
    </x:row>
    <x:row r="7">
      <x:c r="A7" t="str">
        <x:v>2026 Adeleke votes</x:v>
      </x:c>
      <x:c r="B7" s="34" t="n">
        <x:f>SUM(Results_2026!B2:B31)</x:f>
        <x:v>511067</x:v>
      </x:c>
      <x:c r="C7" s="34" t="n">
        <x:v>511067</x:v>
      </x:c>
      <x:c r="D7" s="34" t="n">
        <x:f>B7-C7</x:f>
        <x:v>0</x:v>
      </x:c>
      <x:c r="E7" t="str">
        <x:f>IF(D7=0,"PASS","REVIEW")</x:f>
        <x:v>PASS</x:v>
      </x:c>
    </x:row>
    <x:row r="8">
      <x:c r="A8" t="str">
        <x:v>2026 APC votes</x:v>
      </x:c>
      <x:c r="B8" s="34" t="n">
        <x:f>SUM(Results_2026!C2:C31)</x:f>
        <x:v>444815</x:v>
      </x:c>
      <x:c r="C8" s="34" t="n">
        <x:v>444815</x:v>
      </x:c>
      <x:c r="D8" s="34" t="n">
        <x:f>B8-C8</x:f>
        <x:v>0</x:v>
      </x:c>
      <x:c r="E8" t="str">
        <x:f>IF(D8=0,"PASS","REVIEW")</x:f>
        <x:v>PASS</x:v>
      </x:c>
    </x:row>
    <x:row r="9">
      <x:c r="A9" t="str">
        <x:v>2026 ADC votes</x:v>
      </x:c>
      <x:c r="B9" s="34" t="n">
        <x:f>SUM(Results_2026!D2:D31)</x:f>
        <x:v>17180</x:v>
      </x:c>
      <x:c r="C9" s="34" t="n">
        <x:v>17180</x:v>
      </x:c>
      <x:c r="D9" s="34" t="n">
        <x:f>B9-C9</x:f>
        <x:v>0</x:v>
      </x:c>
      <x:c r="E9" t="str">
        <x:f>IF(D9=0,"PASS","REVIEW")</x:f>
        <x:v>PASS</x:v>
      </x:c>
    </x:row>
    <x:row r="10">
      <x:c r="A10" t="str">
        <x:v>2026 votes cast</x:v>
      </x:c>
      <x:c r="B10" s="34" t="n">
        <x:f>SUM(Results_2026!G2:G31)</x:f>
        <x:v>1005800</x:v>
      </x:c>
      <x:c r="C10" s="34" t="n">
        <x:v>1005800</x:v>
      </x:c>
      <x:c r="D10" s="34" t="n">
        <x:f>B10-C10</x:f>
        <x:v>0</x:v>
      </x:c>
      <x:c r="E10" t="str">
        <x:f>IF(D10=0,"PASS","REVIEW")</x:f>
        <x:v>PASS</x:v>
      </x:c>
    </x:row>
    <x:row r="12">
      <x:c r="A12" s="29" t="str">
        <x:v>Additional 2026 check</x:v>
      </x:c>
      <x:c r="B12" s="29" t="str">
        <x:v>LGA Sum</x:v>
      </x:c>
      <x:c r="C12" s="29" t="str">
        <x:v>Official State Total</x:v>
      </x:c>
      <x:c r="D12" s="29" t="str">
        <x:v>Difference</x:v>
      </x:c>
      <x:c r="E12" s="29" t="str">
        <x:v>Status</x:v>
      </x:c>
      <x:c r="F12" s="29" t="str">
        <x:v>Note</x:v>
      </x:c>
    </x:row>
    <x:row r="13">
      <x:c r="A13" t="str">
        <x:v>2026 accredited voters</x:v>
      </x:c>
      <x:c r="B13" s="34" t="n">
        <x:f>SUM(Results_2026!E2:E31)</x:f>
        <x:v>1010684</x:v>
      </x:c>
      <x:c r="C13" s="34" t="n">
        <x:v>1010684</x:v>
      </x:c>
      <x:c r="D13" s="34" t="n">
        <x:f>B13-C13</x:f>
        <x:v>0</x:v>
      </x:c>
      <x:c r="E13" t="str">
        <x:f>IF(D13=0,"PASS","REVIEW")</x:f>
        <x:v>PASS</x:v>
      </x:c>
      <x:c r="F13" t="str">
        <x:v>Resolved: Orolu accredited voters corrected 25,424 → 25,423. The 30-LGA sum now matches the declared statewide total.</x:v>
      </x:c>
    </x:row>
    <x:row r="14">
      <x:c r="A14" t="str">
        <x:v>2026 valid votes</x:v>
      </x:c>
      <x:c r="B14" s="34" t="n">
        <x:f>SUM(Results_2026!F2:F31)</x:f>
        <x:v>985079</x:v>
      </x:c>
      <x:c r="C14" s="34" t="n">
        <x:v>985079</x:v>
      </x:c>
      <x:c r="D14" s="34" t="n">
        <x:f>B14-C14</x:f>
        <x:v>0</x:v>
      </x:c>
      <x:c r="E14" t="str">
        <x:f>IF(D14=0,"PASS","REVIEW")</x:f>
        <x:v>PASS</x:v>
      </x:c>
      <x:c r="F14" t="str">
        <x:v>Resolved: Isokan valid votes corrected 28,715 → 28,716. The 30-LGA sum now matches the declared statewide total.</x:v>
      </x:c>
    </x:row>
    <x:row r="15">
      <x:c r="A15" t="str">
        <x:v>2026 rejected votes</x:v>
      </x:c>
      <x:c r="B15" s="34" t="n">
        <x:f>SUM(Results_2026!G2:G31)-SUM(Results_2026!F2:F31)</x:f>
        <x:v>20721</x:v>
      </x:c>
      <x:c r="C15" s="34" t="n">
        <x:v>20721</x:v>
      </x:c>
      <x:c r="D15" s="34" t="n">
        <x:f>B15-C15</x:f>
        <x:v>0</x:v>
      </x:c>
      <x:c r="E15" t="str">
        <x:f>IF(D15=0,"PASS","REVIEW")</x:f>
        <x:v>PASS</x:v>
      </x:c>
      <x:c r="F15" t="str">
        <x:v>Derived as votes cast minus valid votes across all 30 LGAs.</x:v>
      </x:c>
    </x:row>
    <x:row r="17">
      <x:c r="A17" s="29" t="str">
        <x:v>Source</x:v>
      </x:c>
      <x:c r="B17" s="29" t="str">
        <x:v>Purpose</x:v>
      </x:c>
      <x:c r="C17" s="29" t="str">
        <x:v>URL</x:v>
      </x:c>
    </x:row>
    <x:row r="18">
      <x:c r="A18" s="21" t="str">
        <x:v>INEC IReV 2026</x:v>
      </x:c>
      <x:c r="B18" s="21" t="str">
        <x:v>Primary result-sheet repository; monitor completion.</x:v>
      </x:c>
      <x:c r="C18" s="21" t="str">
        <x:v>https://cvr.inecnigeria.org/the_election_results/viewElection/2998</x:v>
      </x:c>
    </x:row>
    <x:row r="19">
      <x:c r="A19" s="21" t="str">
        <x:v>Premium Times 2026</x:v>
      </x:c>
      <x:c r="B19" s="21" t="str">
        <x:v>State declaration and complete 30-LGA candidate breakdown.</x:v>
      </x:c>
      <x:c r="C19" s="21" t="str">
        <x:v>https://www.premiumtimesng.com/news/top-news/903305-updated-osundecides2026-inec-declares-accords-ademola-adeleke-winner-of-governorship-election.html</x:v>
      </x:c>
    </x:row>
    <x:row r="20">
      <x:c r="A20" s="21" t="str">
        <x:v>Punch 2026</x:v>
      </x:c>
      <x:c r="B20" s="21" t="str">
        <x:v>LGA accreditation, valid-vote and votes-cast fields.</x:v>
      </x:c>
      <x:c r="C20" s="21" t="str">
        <x:v>https://punchng.com/breaking-adeleke-wins-19-lgs-apcs-oyebamiji-secures-11-lgs/</x:v>
      </x:c>
    </x:row>
    <x:row r="21">
      <x:c r="A21" s="21" t="str">
        <x:v>Channels 2026</x:v>
      </x:c>
      <x:c r="B21" s="21" t="str">
        <x:v>Ifedayo valid-vote correction: 14,449.</x:v>
      </x:c>
      <x:c r="C21" s="21" t="str">
        <x:v>https://x.com/channelstv/status/2088810688395292751</x:v>
      </x:c>
    </x:row>
    <x:row r="22">
      <x:c r="A22" s="21" t="str">
        <x:v>INEC IReV 2022</x:v>
      </x:c>
      <x:c r="B22" s="21" t="str">
        <x:v>Primary archive for the 2022 governorship election.</x:v>
      </x:c>
      <x:c r="C22" s="21" t="str">
        <x:v>https://www.inecelectionresults.ng/elections/62d1c3bb2cc4ff0df57802d1?type=gov</x:v>
      </x:c>
    </x:row>
    <x:row r="23">
      <x:c r="A23" s="21" t="str">
        <x:v>Punch 2022</x:v>
      </x:c>
      <x:c r="B23" s="21" t="str">
        <x:v>30-LGA major-candidate breakdown.</x:v>
      </x:c>
      <x:c r="C23" s="21" t="str">
        <x:v>https://punchng.com/osun-results-of-30-lgs-declared-by-inec/</x:v>
      </x:c>
    </x:row>
    <x:row r="24">
      <x:c r="A24" s="21" t="str">
        <x:v>TVC 2022</x:v>
      </x:c>
      <x:c r="B24" s="21" t="str">
        <x:v>Cross-check for Oriade Adeleke figure (15,947).</x:v>
      </x:c>
      <x:c r="C24" s="21" t="str">
        <x:v>https://www.tvcnews.tv/live-updates-collation-of-osun-governorship-election-results/</x:v>
      </x:c>
    </x:row>
    <x:row r="25">
      <x:c r="A25" s="21" t="str">
        <x:v>BusinessDay 2022</x:v>
      </x:c>
      <x:c r="B25" s="21" t="str">
        <x:v>Cross-check for Obokun valid votes (23,813).</x:v>
      </x:c>
      <x:c r="C25" s="21" t="str">
        <x:v>https://businessday.ng/politics/article/inec-declares-pdps-adeleke-winner-of-osun-guber-election/</x:v>
      </x:c>
    </x:row>
    <x:row r="26">
      <x:c r="A26" s="21" t="str">
        <x:v>Channels 2026 live collation</x:v>
      </x:c>
      <x:c r="B26" s="21" t="str">
        <x:v>Detailed LGA registered/accredited/party/valid/rejected/cast records; used for correction audit.</x:v>
      </x:c>
      <x:c r="C26" s="21" t="str">
        <x:v>https://www.channelstv.com/election/live-updates-osun-2026-election/</x:v>
      </x:c>
    </x:row>
    <x:row r="27">
      <x:c r="A27" s="21" t="str">
        <x:v>Legit 2026 live collation</x:v>
      </x:c>
      <x:c r="B27" s="21" t="str">
        <x:v>Independent cross-check for valid/rejected/votes-cast figures including Irewole and Isokan.</x:v>
      </x:c>
      <x:c r="C27" s="21" t="str">
        <x:v>https://www.legit.ng/politics/1725368-osun-election-2026-official-lga-results-inec-live-updates/</x:v>
      </x:c>
    </x:row>
    <x:row r="28">
      <x:c r="A28" s="21" t="str">
        <x:v>Premium Times pre-election register</x:v>
      </x:c>
      <x:c r="B28" s="21" t="str">
        <x:v>INEC-based pre-election registered-voter baseline; retained because it conflicts with final state collation total.</x:v>
      </x:c>
      <x:c r="C28" s="21" t="str">
        <x:v>https://www.premiumtimesng.com/features-and-interviews/902792-analysis-osuns-1-9-million-voters-and-the-lgas-that-may-decide-the-election.html</x:v>
      </x:c>
    </x:row>
    <x:row r="29">
      <x:c r="A29" s="21" t="str">
        <x:v>The Nation 2022 live collation</x:v>
      </x:c>
      <x:c r="B29" s="21" t="str">
        <x:v>Contemporaneous LGA registered/accredited/valid/rejected/cast figures; used to verify turnout definition and Obokun.</x:v>
      </x:c>
      <x:c r="C29" s="21" t="str">
        <x:v>https://thenationonlineng.net/live-updates-osun-decides-2022/</x:v>
      </x:c>
    </x:row>
    <x:row r="30">
      <x:c r="A30" s="21" t="str">
        <x:v>Stears 2022</x:v>
      </x:c>
      <x:c r="B30" s="21" t="str">
        <x:v>Independent statewide result cross-check.</x:v>
      </x:c>
      <x:c r="C30" s="21" t="str">
        <x:v>https://www.stears.co/elections/2022/governor/OS/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6" max="6" width="20" hidden="0" customWidth="1"/>
    <x:col min="7" max="7" width="20" hidden="0" customWidth="1"/>
    <x:col min="8" max="8" width="46" hidden="0" customWidth="1"/>
  </x:cols>
  <x:sheetData>
    <x:row r="1">
      <x:c r="A1" s="4" t="str">
        <x:v>OSUN DECIDES 2026 — First Analytical Snapshot</x:v>
      </x:c>
      <x:c r="B1" s="4"/>
      <x:c r="C1" s="4"/>
      <x:c r="D1" s="4"/>
      <x:c r="E1" s="4"/>
      <x:c r="F1" s="4"/>
      <x:c r="G1" s="4"/>
      <x:c r="H1" s="4"/>
    </x:row>
    <x:row r="3">
      <x:c r="A3" s="29" t="str">
        <x:v>Metric</x:v>
      </x:c>
      <x:c r="B3" s="29" t="str">
        <x:v>2022</x:v>
      </x:c>
      <x:c r="C3" s="29" t="str">
        <x:v>2026</x:v>
      </x:c>
      <x:c r="D3" s="29" t="str">
        <x:v>Change</x:v>
      </x:c>
      <x:c r="F3" s="29" t="str">
        <x:v>Transition</x:v>
      </x:c>
      <x:c r="G3" s="29" t="str">
        <x:v>Count</x:v>
      </x:c>
      <x:c r="H3" s="29" t="str">
        <x:v>Interpretation</x:v>
      </x:c>
    </x:row>
    <x:row r="4">
      <x:c r="A4" t="str">
        <x:v>Adeleke votes</x:v>
      </x:c>
      <x:c r="B4" s="34" t="n">
        <x:v>403371</x:v>
      </x:c>
      <x:c r="C4" s="34" t="n">
        <x:v>511067</x:v>
      </x:c>
      <x:c r="D4" s="34" t="n">
        <x:f>C4-B4</x:f>
        <x:v>107696</x:v>
      </x:c>
      <x:c r="F4" t="str">
        <x:v>Adeleke → Adeleke</x:v>
      </x:c>
      <x:c r="G4" t="n">
        <x:f>COUNTIFS(Master_Comparison!I2:I31,"Adeleke",Master_Comparison!U2:U31,"Adeleke")</x:f>
        <x:v>13</x:v>
      </x:c>
      <x:c r="H4" s="21" t="str">
        <x:v>Retained Adeleke-led LGA</x:v>
      </x:c>
    </x:row>
    <x:row r="5">
      <x:c r="A5" t="str">
        <x:v>APC votes</x:v>
      </x:c>
      <x:c r="B5" s="34" t="n">
        <x:v>375027</x:v>
      </x:c>
      <x:c r="C5" s="34" t="n">
        <x:v>444815</x:v>
      </x:c>
      <x:c r="D5" s="34" t="n">
        <x:f>C5-B5</x:f>
        <x:v>69788</x:v>
      </x:c>
      <x:c r="F5" t="str">
        <x:v>APC → APC</x:v>
      </x:c>
      <x:c r="G5" t="n">
        <x:f>COUNTIFS(Master_Comparison!I2:I31,"APC",Master_Comparison!U2:U31,"APC")</x:f>
        <x:v>7</x:v>
      </x:c>
      <x:c r="H5" s="21" t="str">
        <x:v>Retained APC-led LGA</x:v>
      </x:c>
    </x:row>
    <x:row r="6">
      <x:c r="A6" t="str">
        <x:v>Adeleke LGAs won</x:v>
      </x:c>
      <x:c r="B6" s="34" t="n">
        <x:v>17</x:v>
      </x:c>
      <x:c r="C6" s="34" t="n">
        <x:v>19</x:v>
      </x:c>
      <x:c r="D6" s="34" t="n">
        <x:f>C6-B6</x:f>
        <x:v>2</x:v>
      </x:c>
      <x:c r="F6" t="str">
        <x:v>APC → Adeleke</x:v>
      </x:c>
      <x:c r="G6" t="n">
        <x:f>COUNTIFS(Master_Comparison!I2:I31,"APC",Master_Comparison!U2:U31,"Adeleke")</x:f>
        <x:v>6</x:v>
      </x:c>
      <x:c r="H6" s="21" t="str">
        <x:v>Moved from APC winner in 2022 to Adeleke winner in 2026</x:v>
      </x:c>
    </x:row>
    <x:row r="7">
      <x:c r="A7" t="str">
        <x:v>APC LGAs won</x:v>
      </x:c>
      <x:c r="B7" s="34" t="n">
        <x:v>13</x:v>
      </x:c>
      <x:c r="C7" s="34" t="n">
        <x:v>11</x:v>
      </x:c>
      <x:c r="D7" s="34" t="n">
        <x:f>C7-B7</x:f>
        <x:v>-2</x:v>
      </x:c>
      <x:c r="F7" t="str">
        <x:v>Adeleke → APC</x:v>
      </x:c>
      <x:c r="G7" t="n">
        <x:f>COUNTIFS(Master_Comparison!I2:I31,"Adeleke",Master_Comparison!U2:U31,"APC")</x:f>
        <x:v>4</x:v>
      </x:c>
      <x:c r="H7" s="21" t="str">
        <x:v>Moved from Adeleke winner in 2022 to APC winner in 2026</x:v>
      </x:c>
    </x:row>
    <x:row r="8">
      <x:c r="A8" t="str">
        <x:v>Statewide winning margin</x:v>
      </x:c>
      <x:c r="B8" s="34" t="n">
        <x:v>28344</x:v>
      </x:c>
      <x:c r="C8" s="34" t="n">
        <x:v>66252</x:v>
      </x:c>
      <x:c r="D8" s="34" t="n">
        <x:f>C8-B8</x:f>
        <x:v>37908</x:v>
      </x:c>
    </x:row>
    <x:row r="9">
      <x:c r="A9" t="str">
        <x:v>Valid votes</x:v>
      </x:c>
      <x:c r="B9" s="34" t="n">
        <x:v>804450</x:v>
      </x:c>
      <x:c r="C9" s="34" t="n">
        <x:v>985079</x:v>
      </x:c>
      <x:c r="D9" s="34" t="n">
        <x:f>C9-B9</x:f>
        <x:v>180629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8" hidden="0" customWidth="1"/>
    <x:col min="24" max="24" width="2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47" t="str">
        <x:v>OSUN DECIDES — Hardened 30-LGA Analytical Core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</x:row>
    <x:row r="2">
      <x:c r="A2" s="44" t="str">
        <x:v>This sheet is the recommended input for Python/Power BI. It preserves only the fields needed for the 2022→2026 comparison and attaches verification status. Corrections and source conflicts are documented in Source_Audit rather than hidden.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</x:row>
    <x:row r="5">
      <x:c r="A5" s="53" t="str">
        <x:v>LGA</x:v>
      </x:c>
      <x:c r="B5" s="53" t="str">
        <x:v>2022 Adeleke (PDP)</x:v>
      </x:c>
      <x:c r="C5" s="53" t="str">
        <x:v>2022 APC (Oyetola)</x:v>
      </x:c>
      <x:c r="D5" s="53" t="str">
        <x:v>2022 Other</x:v>
      </x:c>
      <x:c r="E5" s="53" t="str">
        <x:v>2022 Valid Votes</x:v>
      </x:c>
      <x:c r="F5" s="53" t="str">
        <x:v>2022 Ballot Turnout %</x:v>
      </x:c>
      <x:c r="G5" s="53" t="str">
        <x:v>2022 Winner</x:v>
      </x:c>
      <x:c r="H5" s="53" t="str">
        <x:v>2022 Margin</x:v>
      </x:c>
      <x:c r="I5" s="53" t="str">
        <x:v>2022 Result Status</x:v>
      </x:c>
      <x:c r="J5" s="53" t="str">
        <x:v>2022 Turnout Status</x:v>
      </x:c>
      <x:c r="K5" s="53" t="str">
        <x:v>2026 Adeleke (Accord)</x:v>
      </x:c>
      <x:c r="L5" s="53" t="str">
        <x:v>2026 APC (Oyebamiji)</x:v>
      </x:c>
      <x:c r="M5" s="53" t="str">
        <x:v>2026 ADC (Salaam)</x:v>
      </x:c>
      <x:c r="N5" s="53" t="str">
        <x:v>2026 Other</x:v>
      </x:c>
      <x:c r="O5" s="53" t="str">
        <x:v>2026 Valid Votes</x:v>
      </x:c>
      <x:c r="P5" s="53" t="str">
        <x:v>2026 Accredited</x:v>
      </x:c>
      <x:c r="Q5" s="53" t="str">
        <x:v>2026 Votes Cast</x:v>
      </x:c>
      <x:c r="R5" s="53" t="str">
        <x:v>2026 Rejected</x:v>
      </x:c>
      <x:c r="S5" s="53" t="str">
        <x:v>2026 Adeleke Share</x:v>
      </x:c>
      <x:c r="T5" s="53" t="str">
        <x:v>2026 APC Share</x:v>
      </x:c>
      <x:c r="U5" s="53" t="str">
        <x:v>2026 Winner</x:v>
      </x:c>
      <x:c r="V5" s="53" t="str">
        <x:v>2026 Margin</x:v>
      </x:c>
      <x:c r="W5" s="53" t="str">
        <x:v>2026 Result Status</x:v>
      </x:c>
      <x:c r="X5" s="53" t="str">
        <x:v>2026 Participation Status</x:v>
      </x:c>
      <x:c r="Y5" s="53" t="str">
        <x:v>Adeleke Vote Change</x:v>
      </x:c>
      <x:c r="Z5" s="53" t="str">
        <x:v>APC Vote Change</x:v>
      </x:c>
      <x:c r="AA5" s="53" t="str">
        <x:v>Adeleke Share Change (pp)</x:v>
      </x:c>
      <x:c r="AB5" s="53" t="str">
        <x:v>APC Share Change (pp)</x:v>
      </x:c>
    </x:row>
    <x:row r="6">
      <x:c r="A6" t="str">
        <x:f>Master_Comparison!A2</x:f>
        <x:v>Aiyedaade</x:v>
      </x:c>
      <x:c r="B6" s="34" t="n">
        <x:f>Master_Comparison!B2</x:f>
        <x:v>13380</x:v>
      </x:c>
      <x:c r="C6" s="34" t="n">
        <x:f>Master_Comparison!C2</x:f>
        <x:v>14527</x:v>
      </x:c>
      <x:c r="D6" s="34" t="n">
        <x:f>Master_Comparison!D2</x:f>
        <x:v>1081</x:v>
      </x:c>
      <x:c r="E6" s="34" t="n">
        <x:f>Master_Comparison!E2</x:f>
        <x:v>28988</x:v>
      </x:c>
      <x:c r="F6" s="36" t="n">
        <x:f>Master_Comparison!F2</x:f>
        <x:v>0.4387</x:v>
      </x:c>
      <x:c r="G6" t="str">
        <x:f>Master_Comparison!I2</x:f>
        <x:v>APC</x:v>
      </x:c>
      <x:c r="H6" s="34" t="n">
        <x:f>Master_Comparison!J2</x:f>
        <x:v>1147</x:v>
      </x:c>
      <x:c r="I6" s="21" t="str">
        <x:v>Cross-validated</x:v>
      </x:c>
      <x:c r="J6" s="21" t="str">
        <x:v>Cross-validated secondary</x:v>
      </x:c>
      <x:c r="K6" s="34" t="n">
        <x:f>Master_Comparison!K2</x:f>
        <x:v>16681</x:v>
      </x:c>
      <x:c r="L6" s="34" t="n">
        <x:f>Master_Comparison!L2</x:f>
        <x:v>15719</x:v>
      </x:c>
      <x:c r="M6" s="34" t="n">
        <x:f>Master_Comparison!M2</x:f>
        <x:v>331</x:v>
      </x:c>
      <x:c r="N6" s="34" t="n">
        <x:f>Master_Comparison!N2</x:f>
        <x:v>449</x:v>
      </x:c>
      <x:c r="O6" s="34" t="n">
        <x:f>Master_Comparison!O2</x:f>
        <x:v>33180</x:v>
      </x:c>
      <x:c r="P6" s="34" t="n">
        <x:f>Master_Comparison!P2</x:f>
        <x:v>34232</x:v>
      </x:c>
      <x:c r="Q6" s="34" t="n">
        <x:f>Master_Comparison!Q2</x:f>
        <x:v>33801</x:v>
      </x:c>
      <x:c r="R6" s="34" t="n">
        <x:f>Master_Comparison!R2</x:f>
        <x:v>621</x:v>
      </x:c>
      <x:c r="S6" s="36" t="n">
        <x:f>Master_Comparison!S2</x:f>
        <x:v>0.5027426160337553</x:v>
      </x:c>
      <x:c r="T6" s="36" t="n">
        <x:f>Master_Comparison!T2</x:f>
        <x:v>0.47374924653405664</x:v>
      </x:c>
      <x:c r="U6" t="str">
        <x:f>Master_Comparison!U2</x:f>
        <x:v>Adeleke</x:v>
      </x:c>
      <x:c r="V6" s="34" t="n">
        <x:f>Master_Comparison!V2</x:f>
        <x:v>962</x:v>
      </x:c>
      <x:c r="W6" s="54" t="str">
        <x:v>Cross-validated / state reconciled</x:v>
      </x:c>
      <x:c r="X6" s="54" t="str">
        <x:v>Cross-validated / state reconciled</x:v>
      </x:c>
      <x:c r="Y6" s="34" t="n">
        <x:f>Master_Comparison!W2</x:f>
        <x:v>3301</x:v>
      </x:c>
      <x:c r="Z6" s="34" t="n">
        <x:f>Master_Comparison!X2</x:f>
        <x:v>1192</x:v>
      </x:c>
      <x:c r="AA6" s="38" t="n">
        <x:f>Master_Comparison!Y2</x:f>
        <x:v>4.117231107998126</x:v>
      </x:c>
      <x:c r="AB6" s="38" t="n">
        <x:f>Master_Comparison!Z2</x:f>
        <x:v>-2.738915556336302</x:v>
      </x:c>
    </x:row>
    <x:row r="7">
      <x:c r="A7" t="str">
        <x:f>Master_Comparison!A3</x:f>
        <x:v>Aiyedire</x:v>
      </x:c>
      <x:c r="B7" s="34" t="n">
        <x:f>Master_Comparison!B3</x:f>
        <x:v>7402</x:v>
      </x:c>
      <x:c r="C7" s="34" t="n">
        <x:f>Master_Comparison!C3</x:f>
        <x:v>7868</x:v>
      </x:c>
      <x:c r="D7" s="34" t="n">
        <x:f>Master_Comparison!D3</x:f>
        <x:v>1744</x:v>
      </x:c>
      <x:c r="E7" s="34" t="n">
        <x:f>Master_Comparison!E3</x:f>
        <x:v>17014</x:v>
      </x:c>
      <x:c r="F7" s="36" t="n">
        <x:f>Master_Comparison!F3</x:f>
        <x:v>0.4655</x:v>
      </x:c>
      <x:c r="G7" t="str">
        <x:f>Master_Comparison!I3</x:f>
        <x:v>APC</x:v>
      </x:c>
      <x:c r="H7" s="34" t="n">
        <x:f>Master_Comparison!J3</x:f>
        <x:v>466</x:v>
      </x:c>
      <x:c r="I7" s="21" t="str">
        <x:v>Cross-validated</x:v>
      </x:c>
      <x:c r="J7" s="21" t="str">
        <x:v>Cross-validated secondary</x:v>
      </x:c>
      <x:c r="K7" s="34" t="n">
        <x:f>Master_Comparison!K3</x:f>
        <x:v>11073</x:v>
      </x:c>
      <x:c r="L7" s="34" t="n">
        <x:f>Master_Comparison!L3</x:f>
        <x:v>9910</x:v>
      </x:c>
      <x:c r="M7" s="34" t="n">
        <x:f>Master_Comparison!M3</x:f>
        <x:v>148</x:v>
      </x:c>
      <x:c r="N7" s="34" t="n">
        <x:f>Master_Comparison!N3</x:f>
        <x:v>97</x:v>
      </x:c>
      <x:c r="O7" s="34" t="n">
        <x:f>Master_Comparison!O3</x:f>
        <x:v>21228</x:v>
      </x:c>
      <x:c r="P7" s="34" t="n">
        <x:f>Master_Comparison!P3</x:f>
        <x:v>21419</x:v>
      </x:c>
      <x:c r="Q7" s="34" t="n">
        <x:f>Master_Comparison!Q3</x:f>
        <x:v>21414</x:v>
      </x:c>
      <x:c r="R7" s="34" t="n">
        <x:f>Master_Comparison!R3</x:f>
        <x:v>186</x:v>
      </x:c>
      <x:c r="S7" s="36" t="n">
        <x:f>Master_Comparison!S3</x:f>
        <x:v>0.5216223855285472</x:v>
      </x:c>
      <x:c r="T7" s="36" t="n">
        <x:f>Master_Comparison!T3</x:f>
        <x:v>0.46683625400414547</x:v>
      </x:c>
      <x:c r="U7" t="str">
        <x:f>Master_Comparison!U3</x:f>
        <x:v>Adeleke</x:v>
      </x:c>
      <x:c r="V7" s="34" t="n">
        <x:f>Master_Comparison!V3</x:f>
        <x:v>1163</x:v>
      </x:c>
      <x:c r="W7" s="54" t="str">
        <x:v>Cross-validated / state reconciled</x:v>
      </x:c>
      <x:c r="X7" s="54" t="str">
        <x:v>Cross-validated / state reconciled</x:v>
      </x:c>
      <x:c r="Y7" s="34" t="n">
        <x:f>Master_Comparison!W3</x:f>
        <x:v>3671</x:v>
      </x:c>
      <x:c r="Z7" s="34" t="n">
        <x:f>Master_Comparison!X3</x:f>
        <x:v>2042</x:v>
      </x:c>
      <x:c r="AA7" s="38" t="n">
        <x:f>Master_Comparison!Y3</x:f>
        <x:v>8.656890016355367</x:v>
      </x:c>
      <x:c r="AB7" s="38" t="n">
        <x:f>Master_Comparison!Z3</x:f>
        <x:v>0.4393559752352838</x:v>
      </x:c>
    </x:row>
    <x:row r="8">
      <x:c r="A8" t="str">
        <x:f>Master_Comparison!A4</x:f>
        <x:v>Atakunmosa East</x:v>
      </x:c>
      <x:c r="B8" s="34" t="n">
        <x:f>Master_Comparison!B4</x:f>
        <x:v>6992</x:v>
      </x:c>
      <x:c r="C8" s="34" t="n">
        <x:f>Master_Comparison!C4</x:f>
        <x:v>7449</x:v>
      </x:c>
      <x:c r="D8" s="34" t="n">
        <x:f>Master_Comparison!D4</x:f>
        <x:v>434</x:v>
      </x:c>
      <x:c r="E8" s="34" t="n">
        <x:f>Master_Comparison!E4</x:f>
        <x:v>14875</x:v>
      </x:c>
      <x:c r="F8" s="36" t="n">
        <x:f>Master_Comparison!F4</x:f>
        <x:v>0.3703</x:v>
      </x:c>
      <x:c r="G8" t="str">
        <x:f>Master_Comparison!I4</x:f>
        <x:v>APC</x:v>
      </x:c>
      <x:c r="H8" s="34" t="n">
        <x:f>Master_Comparison!J4</x:f>
        <x:v>457</x:v>
      </x:c>
      <x:c r="I8" s="21" t="str">
        <x:v>Cross-validated</x:v>
      </x:c>
      <x:c r="J8" s="21" t="str">
        <x:v>Cross-validated secondary</x:v>
      </x:c>
      <x:c r="K8" s="34" t="n">
        <x:f>Master_Comparison!K4</x:f>
        <x:v>7872</x:v>
      </x:c>
      <x:c r="L8" s="34" t="n">
        <x:f>Master_Comparison!L4</x:f>
        <x:v>9936</x:v>
      </x:c>
      <x:c r="M8" s="34" t="n">
        <x:f>Master_Comparison!M4</x:f>
        <x:v>333</x:v>
      </x:c>
      <x:c r="N8" s="34" t="n">
        <x:f>Master_Comparison!N4</x:f>
        <x:v>301</x:v>
      </x:c>
      <x:c r="O8" s="34" t="n">
        <x:f>Master_Comparison!O4</x:f>
        <x:v>18442</x:v>
      </x:c>
      <x:c r="P8" s="34" t="n">
        <x:f>Master_Comparison!P4</x:f>
        <x:v>19253</x:v>
      </x:c>
      <x:c r="Q8" s="34" t="n">
        <x:f>Master_Comparison!Q4</x:f>
        <x:v>18823</x:v>
      </x:c>
      <x:c r="R8" s="34" t="n">
        <x:f>Master_Comparison!R4</x:f>
        <x:v>381</x:v>
      </x:c>
      <x:c r="S8" s="36" t="n">
        <x:f>Master_Comparison!S4</x:f>
        <x:v>0.42685175143693743</x:v>
      </x:c>
      <x:c r="T8" s="36" t="n">
        <x:f>Master_Comparison!T4</x:f>
        <x:v>0.5387701984600368</x:v>
      </x:c>
      <x:c r="U8" t="str">
        <x:f>Master_Comparison!U4</x:f>
        <x:v>APC</x:v>
      </x:c>
      <x:c r="V8" s="34" t="n">
        <x:f>Master_Comparison!V4</x:f>
        <x:v>2064</x:v>
      </x:c>
      <x:c r="W8" s="54" t="str">
        <x:v>Cross-validated / state reconciled</x:v>
      </x:c>
      <x:c r="X8" s="54" t="str">
        <x:v>Provisional cell: primary-sheet check open</x:v>
      </x:c>
      <x:c r="Y8" s="34" t="n">
        <x:f>Master_Comparison!W4</x:f>
        <x:v>880</x:v>
      </x:c>
      <x:c r="Z8" s="34" t="n">
        <x:f>Master_Comparison!X4</x:f>
        <x:v>2487</x:v>
      </x:c>
      <x:c r="AA8" s="38" t="n">
        <x:f>Master_Comparison!Y4</x:f>
        <x:v>-4.319866873112982</x:v>
      </x:c>
      <x:c r="AB8" s="38" t="n">
        <x:f>Master_Comparison!Z4</x:f>
        <x:v>3.7997089216339375</x:v>
      </x:c>
    </x:row>
    <x:row r="9">
      <x:c r="A9" t="str">
        <x:f>Master_Comparison!A5</x:f>
        <x:v>Atakunmosa West</x:v>
      </x:c>
      <x:c r="B9" s="34" t="n">
        <x:f>Master_Comparison!B5</x:f>
        <x:v>7750</x:v>
      </x:c>
      <x:c r="C9" s="34" t="n">
        <x:f>Master_Comparison!C5</x:f>
        <x:v>6601</x:v>
      </x:c>
      <x:c r="D9" s="34" t="n">
        <x:f>Master_Comparison!D5</x:f>
        <x:v>443</x:v>
      </x:c>
      <x:c r="E9" s="34" t="n">
        <x:f>Master_Comparison!E5</x:f>
        <x:v>14794</x:v>
      </x:c>
      <x:c r="F9" s="36" t="n">
        <x:f>Master_Comparison!F5</x:f>
        <x:v>0.4153</x:v>
      </x:c>
      <x:c r="G9" t="str">
        <x:f>Master_Comparison!I5</x:f>
        <x:v>Adeleke</x:v>
      </x:c>
      <x:c r="H9" s="34" t="n">
        <x:f>Master_Comparison!J5</x:f>
        <x:v>1149</x:v>
      </x:c>
      <x:c r="I9" s="21" t="str">
        <x:v>Cross-validated</x:v>
      </x:c>
      <x:c r="J9" s="21" t="str">
        <x:v>Cross-validated secondary</x:v>
      </x:c>
      <x:c r="K9" s="34" t="n">
        <x:f>Master_Comparison!K5</x:f>
        <x:v>7479</x:v>
      </x:c>
      <x:c r="L9" s="34" t="n">
        <x:f>Master_Comparison!L5</x:f>
        <x:v>10037</x:v>
      </x:c>
      <x:c r="M9" s="34" t="n">
        <x:f>Master_Comparison!M5</x:f>
        <x:v>213</x:v>
      </x:c>
      <x:c r="N9" s="34" t="n">
        <x:f>Master_Comparison!N5</x:f>
        <x:v>256</x:v>
      </x:c>
      <x:c r="O9" s="34" t="n">
        <x:f>Master_Comparison!O5</x:f>
        <x:v>17985</x:v>
      </x:c>
      <x:c r="P9" s="34" t="n">
        <x:f>Master_Comparison!P5</x:f>
        <x:v>18707</x:v>
      </x:c>
      <x:c r="Q9" s="34" t="n">
        <x:f>Master_Comparison!Q5</x:f>
        <x:v>18399</x:v>
      </x:c>
      <x:c r="R9" s="34" t="n">
        <x:f>Master_Comparison!R5</x:f>
        <x:v>414</x:v>
      </x:c>
      <x:c r="S9" s="36" t="n">
        <x:f>Master_Comparison!S5</x:f>
        <x:v>0.4158465387823186</x:v>
      </x:c>
      <x:c r="T9" s="36" t="n">
        <x:f>Master_Comparison!T5</x:f>
        <x:v>0.5580761745899361</x:v>
      </x:c>
      <x:c r="U9" t="str">
        <x:f>Master_Comparison!U5</x:f>
        <x:v>APC</x:v>
      </x:c>
      <x:c r="V9" s="34" t="n">
        <x:f>Master_Comparison!V5</x:f>
        <x:v>2558</x:v>
      </x:c>
      <x:c r="W9" s="54" t="str">
        <x:v>Cross-validated / state reconciled</x:v>
      </x:c>
      <x:c r="X9" s="54" t="str">
        <x:v>Cross-validated / state reconciled</x:v>
      </x:c>
      <x:c r="Y9" s="34" t="n">
        <x:f>Master_Comparison!W5</x:f>
        <x:v>-271</x:v>
      </x:c>
      <x:c r="Z9" s="34" t="n">
        <x:f>Master_Comparison!X5</x:f>
        <x:v>3436</x:v>
      </x:c>
      <x:c r="AA9" s="38" t="n">
        <x:f>Master_Comparison!Y5</x:f>
        <x:v>-10.801448595744079</x:v>
      </x:c>
      <x:c r="AB9" s="38" t="n">
        <x:f>Master_Comparison!Z5</x:f>
        <x:v>11.188177145352945</x:v>
      </x:c>
    </x:row>
    <x:row r="10">
      <x:c r="A10" t="str">
        <x:f>Master_Comparison!A6</x:f>
        <x:v>Boluwaduro</x:v>
      </x:c>
      <x:c r="B10" s="34" t="n">
        <x:f>Master_Comparison!B6</x:f>
        <x:v>5860</x:v>
      </x:c>
      <x:c r="C10" s="34" t="n">
        <x:f>Master_Comparison!C6</x:f>
        <x:v>5649</x:v>
      </x:c>
      <x:c r="D10" s="34" t="n">
        <x:f>Master_Comparison!D6</x:f>
        <x:v>286</x:v>
      </x:c>
      <x:c r="E10" s="34" t="n">
        <x:f>Master_Comparison!E6</x:f>
        <x:v>11795</x:v>
      </x:c>
      <x:c r="F10" s="36" t="n">
        <x:f>Master_Comparison!F6</x:f>
        <x:v>0.4935</x:v>
      </x:c>
      <x:c r="G10" t="str">
        <x:f>Master_Comparison!I6</x:f>
        <x:v>Adeleke</x:v>
      </x:c>
      <x:c r="H10" s="34" t="n">
        <x:f>Master_Comparison!J6</x:f>
        <x:v>211</x:v>
      </x:c>
      <x:c r="I10" s="21" t="str">
        <x:v>Cross-validated</x:v>
      </x:c>
      <x:c r="J10" s="21" t="str">
        <x:v>Cross-validated secondary</x:v>
      </x:c>
      <x:c r="K10" s="34" t="n">
        <x:f>Master_Comparison!K6</x:f>
        <x:v>7118</x:v>
      </x:c>
      <x:c r="L10" s="34" t="n">
        <x:f>Master_Comparison!L6</x:f>
        <x:v>7050</x:v>
      </x:c>
      <x:c r="M10" s="34" t="n">
        <x:f>Master_Comparison!M6</x:f>
        <x:v>179</x:v>
      </x:c>
      <x:c r="N10" s="34" t="n">
        <x:f>Master_Comparison!N6</x:f>
        <x:v>131</x:v>
      </x:c>
      <x:c r="O10" s="34" t="n">
        <x:f>Master_Comparison!O6</x:f>
        <x:v>14478</x:v>
      </x:c>
      <x:c r="P10" s="34" t="n">
        <x:f>Master_Comparison!P6</x:f>
        <x:v>14662</x:v>
      </x:c>
      <x:c r="Q10" s="34" t="n">
        <x:f>Master_Comparison!Q6</x:f>
        <x:v>14655</x:v>
      </x:c>
      <x:c r="R10" s="34" t="n">
        <x:f>Master_Comparison!R6</x:f>
        <x:v>177</x:v>
      </x:c>
      <x:c r="S10" s="36" t="n">
        <x:f>Master_Comparison!S6</x:f>
        <x:v>0.49164249205691396</x:v>
      </x:c>
      <x:c r="T10" s="36" t="n">
        <x:f>Master_Comparison!T6</x:f>
        <x:v>0.4869457107335267</x:v>
      </x:c>
      <x:c r="U10" t="str">
        <x:f>Master_Comparison!U6</x:f>
        <x:v>Adeleke</x:v>
      </x:c>
      <x:c r="V10" s="34" t="n">
        <x:f>Master_Comparison!V6</x:f>
        <x:v>68</x:v>
      </x:c>
      <x:c r="W10" s="54" t="str">
        <x:v>Cross-validated / state reconciled</x:v>
      </x:c>
      <x:c r="X10" s="54" t="str">
        <x:v>Cross-validated / state reconciled</x:v>
      </x:c>
      <x:c r="Y10" s="34" t="n">
        <x:f>Master_Comparison!W6</x:f>
        <x:v>1258</x:v>
      </x:c>
      <x:c r="Z10" s="34" t="n">
        <x:f>Master_Comparison!X6</x:f>
        <x:v>1401</x:v>
      </x:c>
      <x:c r="AA10" s="38" t="n">
        <x:f>Master_Comparison!Y6</x:f>
        <x:v>-0.5178194674752001</x:v>
      </x:c>
      <x:c r="AB10" s="38" t="n">
        <x:f>Master_Comparison!Z6</x:f>
        <x:v>0.801395999168697</x:v>
      </x:c>
    </x:row>
    <x:row r="11">
      <x:c r="A11" t="str">
        <x:f>Master_Comparison!A7</x:f>
        <x:v>Boripe</x:v>
      </x:c>
      <x:c r="B11" s="34" t="n">
        <x:f>Master_Comparison!B7</x:f>
        <x:v>7595</x:v>
      </x:c>
      <x:c r="C11" s="34" t="n">
        <x:f>Master_Comparison!C7</x:f>
        <x:v>21205</x:v>
      </x:c>
      <x:c r="D11" s="34" t="n">
        <x:f>Master_Comparison!D7</x:f>
        <x:v>710</x:v>
      </x:c>
      <x:c r="E11" s="34" t="n">
        <x:f>Master_Comparison!E7</x:f>
        <x:v>29510</x:v>
      </x:c>
      <x:c r="F11" s="36" t="n">
        <x:f>Master_Comparison!F7</x:f>
        <x:v>0.433</x:v>
      </x:c>
      <x:c r="G11" t="str">
        <x:f>Master_Comparison!I7</x:f>
        <x:v>APC</x:v>
      </x:c>
      <x:c r="H11" s="34" t="n">
        <x:f>Master_Comparison!J7</x:f>
        <x:v>13610</x:v>
      </x:c>
      <x:c r="I11" s="21" t="str">
        <x:v>Cross-validated</x:v>
      </x:c>
      <x:c r="J11" s="21" t="str">
        <x:v>Cross-validated secondary</x:v>
      </x:c>
      <x:c r="K11" s="34" t="n">
        <x:f>Master_Comparison!K7</x:f>
        <x:v>12448</x:v>
      </x:c>
      <x:c r="L11" s="34" t="n">
        <x:f>Master_Comparison!L7</x:f>
        <x:v>19963</x:v>
      </x:c>
      <x:c r="M11" s="34" t="n">
        <x:f>Master_Comparison!M7</x:f>
        <x:v>379</x:v>
      </x:c>
      <x:c r="N11" s="34" t="n">
        <x:f>Master_Comparison!N7</x:f>
        <x:v>326</x:v>
      </x:c>
      <x:c r="O11" s="34" t="n">
        <x:f>Master_Comparison!O7</x:f>
        <x:v>33116</x:v>
      </x:c>
      <x:c r="P11" s="34" t="n">
        <x:f>Master_Comparison!P7</x:f>
        <x:v>33943</x:v>
      </x:c>
      <x:c r="Q11" s="34" t="n">
        <x:f>Master_Comparison!Q7</x:f>
        <x:v>33713</x:v>
      </x:c>
      <x:c r="R11" s="34" t="n">
        <x:f>Master_Comparison!R7</x:f>
        <x:v>597</x:v>
      </x:c>
      <x:c r="S11" s="36" t="n">
        <x:f>Master_Comparison!S7</x:f>
        <x:v>0.3758908080686073</x:v>
      </x:c>
      <x:c r="T11" s="36" t="n">
        <x:f>Master_Comparison!T7</x:f>
        <x:v>0.6028203889358619</x:v>
      </x:c>
      <x:c r="U11" t="str">
        <x:f>Master_Comparison!U7</x:f>
        <x:v>APC</x:v>
      </x:c>
      <x:c r="V11" s="34" t="n">
        <x:f>Master_Comparison!V7</x:f>
        <x:v>7515</x:v>
      </x:c>
      <x:c r="W11" s="54" t="str">
        <x:v>Cross-validated / state reconciled</x:v>
      </x:c>
      <x:c r="X11" s="54" t="str">
        <x:v>Cross-validated / state reconciled</x:v>
      </x:c>
      <x:c r="Y11" s="34" t="n">
        <x:f>Master_Comparison!W7</x:f>
        <x:v>4853</x:v>
      </x:c>
      <x:c r="Z11" s="34" t="n">
        <x:f>Master_Comparison!X7</x:f>
        <x:v>-1242</x:v>
      </x:c>
      <x:c r="AA11" s="38" t="n">
        <x:f>Master_Comparison!Y7</x:f>
        <x:v>11.852042514756361</x:v>
      </x:c>
      <x:c r="AB11" s="38" t="n">
        <x:f>Master_Comparison!Z7</x:f>
        <x:v>-11.57495873433655</x:v>
      </x:c>
    </x:row>
    <x:row r="12">
      <x:c r="A12" t="str">
        <x:f>Master_Comparison!A8</x:f>
        <x:v>Ede North</x:v>
      </x:c>
      <x:c r="B12" s="34" t="n">
        <x:f>Master_Comparison!B8</x:f>
        <x:v>23931</x:v>
      </x:c>
      <x:c r="C12" s="34" t="n">
        <x:f>Master_Comparison!C8</x:f>
        <x:v>9603</x:v>
      </x:c>
      <x:c r="D12" s="34" t="n">
        <x:f>Master_Comparison!D8</x:f>
        <x:v>579</x:v>
      </x:c>
      <x:c r="E12" s="34" t="n">
        <x:f>Master_Comparison!E8</x:f>
        <x:v>34113</x:v>
      </x:c>
      <x:c r="F12" s="36" t="n">
        <x:f>Master_Comparison!F8</x:f>
        <x:v>0.4834</x:v>
      </x:c>
      <x:c r="G12" t="str">
        <x:f>Master_Comparison!I8</x:f>
        <x:v>Adeleke</x:v>
      </x:c>
      <x:c r="H12" s="34" t="n">
        <x:f>Master_Comparison!J8</x:f>
        <x:v>14328</x:v>
      </x:c>
      <x:c r="I12" s="21" t="str">
        <x:v>Cross-validated</x:v>
      </x:c>
      <x:c r="J12" s="21" t="str">
        <x:v>Cross-validated secondary</x:v>
      </x:c>
      <x:c r="K12" s="34" t="n">
        <x:f>Master_Comparison!K8</x:f>
        <x:v>35427</x:v>
      </x:c>
      <x:c r="L12" s="34" t="n">
        <x:f>Master_Comparison!L8</x:f>
        <x:v>10283</x:v>
      </x:c>
      <x:c r="M12" s="34" t="n">
        <x:f>Master_Comparison!M8</x:f>
        <x:v>307</x:v>
      </x:c>
      <x:c r="N12" s="34" t="n">
        <x:f>Master_Comparison!N8</x:f>
        <x:v>457</x:v>
      </x:c>
      <x:c r="O12" s="34" t="n">
        <x:f>Master_Comparison!O8</x:f>
        <x:v>46474</x:v>
      </x:c>
      <x:c r="P12" s="34" t="n">
        <x:f>Master_Comparison!P8</x:f>
        <x:v>47262</x:v>
      </x:c>
      <x:c r="Q12" s="34" t="n">
        <x:f>Master_Comparison!Q8</x:f>
        <x:v>47205</x:v>
      </x:c>
      <x:c r="R12" s="34" t="n">
        <x:f>Master_Comparison!R8</x:f>
        <x:v>731</x:v>
      </x:c>
      <x:c r="S12" s="36" t="n">
        <x:f>Master_Comparison!S8</x:f>
        <x:v>0.7622971984335327</x:v>
      </x:c>
      <x:c r="T12" s="36" t="n">
        <x:f>Master_Comparison!T8</x:f>
        <x:v>0.22126350217325816</x:v>
      </x:c>
      <x:c r="U12" t="str">
        <x:f>Master_Comparison!U8</x:f>
        <x:v>Adeleke</x:v>
      </x:c>
      <x:c r="V12" s="34" t="n">
        <x:f>Master_Comparison!V8</x:f>
        <x:v>25144</x:v>
      </x:c>
      <x:c r="W12" s="54" t="str">
        <x:v>Cross-validated / state reconciled</x:v>
      </x:c>
      <x:c r="X12" s="54" t="str">
        <x:v>Cross-validated / state reconciled</x:v>
      </x:c>
      <x:c r="Y12" s="34" t="n">
        <x:f>Master_Comparison!W8</x:f>
        <x:v>11496</x:v>
      </x:c>
      <x:c r="Z12" s="34" t="n">
        <x:f>Master_Comparison!X8</x:f>
        <x:v>680</x:v>
      </x:c>
      <x:c r="AA12" s="38" t="n">
        <x:f>Master_Comparison!Y8</x:f>
        <x:v>6.077578430988484</x:v>
      </x:c>
      <x:c r="AB12" s="38" t="n">
        <x:f>Master_Comparison!Z8</x:f>
        <x:v>-6.0242082208062735</x:v>
      </x:c>
    </x:row>
    <x:row r="13">
      <x:c r="A13" t="str">
        <x:f>Master_Comparison!A9</x:f>
        <x:v>Ede South</x:v>
      </x:c>
      <x:c r="B13" s="34" t="n">
        <x:f>Master_Comparison!B9</x:f>
        <x:v>19438</x:v>
      </x:c>
      <x:c r="C13" s="34" t="n">
        <x:f>Master_Comparison!C9</x:f>
        <x:v>5704</x:v>
      </x:c>
      <x:c r="D13" s="34" t="n">
        <x:f>Master_Comparison!D9</x:f>
        <x:v>549</x:v>
      </x:c>
      <x:c r="E13" s="34" t="n">
        <x:f>Master_Comparison!E9</x:f>
        <x:v>25691</x:v>
      </x:c>
      <x:c r="F13" s="36" t="n">
        <x:f>Master_Comparison!F9</x:f>
        <x:v>0.4781</x:v>
      </x:c>
      <x:c r="G13" t="str">
        <x:f>Master_Comparison!I9</x:f>
        <x:v>Adeleke</x:v>
      </x:c>
      <x:c r="H13" s="34" t="n">
        <x:f>Master_Comparison!J9</x:f>
        <x:v>13734</x:v>
      </x:c>
      <x:c r="I13" s="21" t="str">
        <x:v>Cross-validated</x:v>
      </x:c>
      <x:c r="J13" s="21" t="str">
        <x:v>Cross-validated secondary</x:v>
      </x:c>
      <x:c r="K13" s="34" t="n">
        <x:f>Master_Comparison!K9</x:f>
        <x:v>26188</x:v>
      </x:c>
      <x:c r="L13" s="34" t="n">
        <x:f>Master_Comparison!L9</x:f>
        <x:v>6219</x:v>
      </x:c>
      <x:c r="M13" s="34" t="n">
        <x:f>Master_Comparison!M9</x:f>
        <x:v>390</x:v>
      </x:c>
      <x:c r="N13" s="34" t="n">
        <x:f>Master_Comparison!N9</x:f>
        <x:v>413</x:v>
      </x:c>
      <x:c r="O13" s="34" t="n">
        <x:f>Master_Comparison!O9</x:f>
        <x:v>33210</x:v>
      </x:c>
      <x:c r="P13" s="34" t="n">
        <x:f>Master_Comparison!P9</x:f>
        <x:v>34011</x:v>
      </x:c>
      <x:c r="Q13" s="34" t="n">
        <x:f>Master_Comparison!Q9</x:f>
        <x:v>33950</x:v>
      </x:c>
      <x:c r="R13" s="34" t="n">
        <x:f>Master_Comparison!R9</x:f>
        <x:v>740</x:v>
      </x:c>
      <x:c r="S13" s="36" t="n">
        <x:f>Master_Comparison!S9</x:f>
        <x:v>0.7885576633544114</x:v>
      </x:c>
      <x:c r="T13" s="36" t="n">
        <x:f>Master_Comparison!T9</x:f>
        <x:v>0.1872628726287263</x:v>
      </x:c>
      <x:c r="U13" t="str">
        <x:f>Master_Comparison!U9</x:f>
        <x:v>Adeleke</x:v>
      </x:c>
      <x:c r="V13" s="34" t="n">
        <x:f>Master_Comparison!V9</x:f>
        <x:v>19969</x:v>
      </x:c>
      <x:c r="W13" s="54" t="str">
        <x:v>Cross-validated / state reconciled</x:v>
      </x:c>
      <x:c r="X13" s="54" t="str">
        <x:v>Cross-validated / state reconciled</x:v>
      </x:c>
      <x:c r="Y13" s="34" t="n">
        <x:f>Master_Comparison!W9</x:f>
        <x:v>6750</x:v>
      </x:c>
      <x:c r="Z13" s="34" t="n">
        <x:f>Master_Comparison!X9</x:f>
        <x:v>515</x:v>
      </x:c>
      <x:c r="AA13" s="38" t="n">
        <x:f>Master_Comparison!Y9</x:f>
        <x:v>3.1950291122890606</x:v>
      </x:c>
      <x:c r="AB13" s="38" t="n">
        <x:f>Master_Comparison!Z9</x:f>
        <x:v>-3.476040400511435</x:v>
      </x:c>
    </x:row>
    <x:row r="14">
      <x:c r="A14" t="str">
        <x:f>Master_Comparison!A10</x:f>
        <x:v>Egbedore</x:v>
      </x:c>
      <x:c r="B14" s="34" t="n">
        <x:f>Master_Comparison!B10</x:f>
        <x:v>13230</x:v>
      </x:c>
      <x:c r="C14" s="34" t="n">
        <x:f>Master_Comparison!C10</x:f>
        <x:v>9228</x:v>
      </x:c>
      <x:c r="D14" s="34" t="n">
        <x:f>Master_Comparison!D10</x:f>
        <x:v>614</x:v>
      </x:c>
      <x:c r="E14" s="34" t="n">
        <x:f>Master_Comparison!E10</x:f>
        <x:v>23072</x:v>
      </x:c>
      <x:c r="F14" s="36" t="n">
        <x:f>Master_Comparison!F10</x:f>
        <x:v>0.4412</x:v>
      </x:c>
      <x:c r="G14" t="str">
        <x:f>Master_Comparison!I10</x:f>
        <x:v>Adeleke</x:v>
      </x:c>
      <x:c r="H14" s="34" t="n">
        <x:f>Master_Comparison!J10</x:f>
        <x:v>4002</x:v>
      </x:c>
      <x:c r="I14" s="21" t="str">
        <x:v>Cross-validated</x:v>
      </x:c>
      <x:c r="J14" s="21" t="str">
        <x:v>Cross-validated secondary</x:v>
      </x:c>
      <x:c r="K14" s="34" t="n">
        <x:f>Master_Comparison!K10</x:f>
        <x:v>19278</x:v>
      </x:c>
      <x:c r="L14" s="34" t="n">
        <x:f>Master_Comparison!L10</x:f>
        <x:v>11194</x:v>
      </x:c>
      <x:c r="M14" s="34" t="n">
        <x:f>Master_Comparison!M10</x:f>
        <x:v>363</x:v>
      </x:c>
      <x:c r="N14" s="34" t="n">
        <x:f>Master_Comparison!N10</x:f>
        <x:v>320</x:v>
      </x:c>
      <x:c r="O14" s="34" t="n">
        <x:f>Master_Comparison!O10</x:f>
        <x:v>31155</x:v>
      </x:c>
      <x:c r="P14" s="34" t="n">
        <x:f>Master_Comparison!P10</x:f>
        <x:v>31867</x:v>
      </x:c>
      <x:c r="Q14" s="34" t="n">
        <x:f>Master_Comparison!Q10</x:f>
        <x:v>31830</x:v>
      </x:c>
      <x:c r="R14" s="34" t="n">
        <x:f>Master_Comparison!R10</x:f>
        <x:v>675</x:v>
      </x:c>
      <x:c r="S14" s="36" t="n">
        <x:f>Master_Comparison!S10</x:f>
        <x:v>0.6187770823302841</x:v>
      </x:c>
      <x:c r="T14" s="36" t="n">
        <x:f>Master_Comparison!T10</x:f>
        <x:v>0.35930027282940136</x:v>
      </x:c>
      <x:c r="U14" t="str">
        <x:f>Master_Comparison!U10</x:f>
        <x:v>Adeleke</x:v>
      </x:c>
      <x:c r="V14" s="34" t="n">
        <x:f>Master_Comparison!V10</x:f>
        <x:v>8084</x:v>
      </x:c>
      <x:c r="W14" s="54" t="str">
        <x:v>Cross-validated / state reconciled</x:v>
      </x:c>
      <x:c r="X14" s="54" t="str">
        <x:v>Cross-validated / state reconciled</x:v>
      </x:c>
      <x:c r="Y14" s="34" t="n">
        <x:f>Master_Comparison!W10</x:f>
        <x:v>6048</x:v>
      </x:c>
      <x:c r="Z14" s="34" t="n">
        <x:f>Master_Comparison!X10</x:f>
        <x:v>1966</x:v>
      </x:c>
      <x:c r="AA14" s="38" t="n">
        <x:f>Master_Comparison!Y10</x:f>
        <x:v>4.535475223319663</x:v>
      </x:c>
      <x:c r="AB14" s="38" t="n">
        <x:f>Master_Comparison!Z10</x:f>
        <x:v>-4.066505310679835</x:v>
      </x:c>
    </x:row>
    <x:row r="15">
      <x:c r="A15" t="str">
        <x:f>Master_Comparison!A11</x:f>
        <x:v>Ejigbo</x:v>
      </x:c>
      <x:c r="B15" s="34" t="n">
        <x:f>Master_Comparison!B11</x:f>
        <x:v>18065</x:v>
      </x:c>
      <x:c r="C15" s="34" t="n">
        <x:f>Master_Comparison!C11</x:f>
        <x:v>14355</x:v>
      </x:c>
      <x:c r="D15" s="34" t="n">
        <x:f>Master_Comparison!D11</x:f>
        <x:v>909</x:v>
      </x:c>
      <x:c r="E15" s="34" t="n">
        <x:f>Master_Comparison!E11</x:f>
        <x:v>33329</x:v>
      </x:c>
      <x:c r="F15" s="36" t="n">
        <x:f>Master_Comparison!F11</x:f>
        <x:v>0.465</x:v>
      </x:c>
      <x:c r="G15" t="str">
        <x:f>Master_Comparison!I11</x:f>
        <x:v>Adeleke</x:v>
      </x:c>
      <x:c r="H15" s="34" t="n">
        <x:f>Master_Comparison!J11</x:f>
        <x:v>3710</x:v>
      </x:c>
      <x:c r="I15" s="21" t="str">
        <x:v>Cross-validated</x:v>
      </x:c>
      <x:c r="J15" s="21" t="str">
        <x:v>Cross-validated secondary</x:v>
      </x:c>
      <x:c r="K15" s="34" t="n">
        <x:f>Master_Comparison!K11</x:f>
        <x:v>18458</x:v>
      </x:c>
      <x:c r="L15" s="34" t="n">
        <x:f>Master_Comparison!L11</x:f>
        <x:v>16195</x:v>
      </x:c>
      <x:c r="M15" s="34" t="n">
        <x:f>Master_Comparison!M11</x:f>
        <x:v>5053</x:v>
      </x:c>
      <x:c r="N15" s="34" t="n">
        <x:f>Master_Comparison!N11</x:f>
        <x:v>608</x:v>
      </x:c>
      <x:c r="O15" s="34" t="n">
        <x:f>Master_Comparison!O11</x:f>
        <x:v>40314</x:v>
      </x:c>
      <x:c r="P15" s="34" t="n">
        <x:f>Master_Comparison!P11</x:f>
        <x:v>41173</x:v>
      </x:c>
      <x:c r="Q15" s="34" t="n">
        <x:f>Master_Comparison!Q11</x:f>
        <x:v>41125</x:v>
      </x:c>
      <x:c r="R15" s="34" t="n">
        <x:f>Master_Comparison!R11</x:f>
        <x:v>811</x:v>
      </x:c>
      <x:c r="S15" s="36" t="n">
        <x:f>Master_Comparison!S11</x:f>
        <x:v>0.4578558317209902</x:v>
      </x:c>
      <x:c r="T15" s="36" t="n">
        <x:f>Master_Comparison!T11</x:f>
        <x:v>0.4017214863322915</x:v>
      </x:c>
      <x:c r="U15" t="str">
        <x:f>Master_Comparison!U11</x:f>
        <x:v>Adeleke</x:v>
      </x:c>
      <x:c r="V15" s="34" t="n">
        <x:f>Master_Comparison!V11</x:f>
        <x:v>2263</x:v>
      </x:c>
      <x:c r="W15" s="54" t="str">
        <x:v>Cross-validated / state reconciled</x:v>
      </x:c>
      <x:c r="X15" s="54" t="str">
        <x:v>Cross-validated / state reconciled</x:v>
      </x:c>
      <x:c r="Y15" s="34" t="n">
        <x:f>Master_Comparison!W11</x:f>
        <x:v>393</x:v>
      </x:c>
      <x:c r="Z15" s="34" t="n">
        <x:f>Master_Comparison!X11</x:f>
        <x:v>1840</x:v>
      </x:c>
      <x:c r="AA15" s="38" t="n">
        <x:f>Master_Comparison!Y11</x:f>
        <x:v>-8.41646309391556</x:v>
      </x:c>
      <x:c r="AB15" s="38" t="n">
        <x:f>Master_Comparison!Z11</x:f>
        <x:v>-2.8984505446639774</x:v>
      </x:c>
    </x:row>
    <x:row r="16">
      <x:c r="A16" t="str">
        <x:f>Master_Comparison!A12</x:f>
        <x:v>Ife Central</x:v>
      </x:c>
      <x:c r="B16" s="34" t="n">
        <x:f>Master_Comparison!B12</x:f>
        <x:v>13532</x:v>
      </x:c>
      <x:c r="C16" s="34" t="n">
        <x:f>Master_Comparison!C12</x:f>
        <x:v>17880</x:v>
      </x:c>
      <x:c r="D16" s="34" t="n">
        <x:f>Master_Comparison!D12</x:f>
        <x:v>1132</x:v>
      </x:c>
      <x:c r="E16" s="34" t="n">
        <x:f>Master_Comparison!E12</x:f>
        <x:v>32544</x:v>
      </x:c>
      <x:c r="F16" s="36" t="n">
        <x:f>Master_Comparison!F12</x:f>
        <x:v>0.295</x:v>
      </x:c>
      <x:c r="G16" t="str">
        <x:f>Master_Comparison!I12</x:f>
        <x:v>APC</x:v>
      </x:c>
      <x:c r="H16" s="34" t="n">
        <x:f>Master_Comparison!J12</x:f>
        <x:v>4348</x:v>
      </x:c>
      <x:c r="I16" s="21" t="str">
        <x:v>Cross-validated</x:v>
      </x:c>
      <x:c r="J16" s="21" t="str">
        <x:v>Cross-validated secondary</x:v>
      </x:c>
      <x:c r="K16" s="34" t="n">
        <x:f>Master_Comparison!K12</x:f>
        <x:v>21171</x:v>
      </x:c>
      <x:c r="L16" s="34" t="n">
        <x:f>Master_Comparison!L12</x:f>
        <x:v>15913</x:v>
      </x:c>
      <x:c r="M16" s="34" t="n">
        <x:f>Master_Comparison!M12</x:f>
        <x:v>747</x:v>
      </x:c>
      <x:c r="N16" s="34" t="n">
        <x:f>Master_Comparison!N12</x:f>
        <x:v>549</x:v>
      </x:c>
      <x:c r="O16" s="34" t="n">
        <x:f>Master_Comparison!O12</x:f>
        <x:v>38380</x:v>
      </x:c>
      <x:c r="P16" s="34" t="n">
        <x:f>Master_Comparison!P12</x:f>
        <x:v>39990</x:v>
      </x:c>
      <x:c r="Q16" s="34" t="n">
        <x:f>Master_Comparison!Q12</x:f>
        <x:v>39330</x:v>
      </x:c>
      <x:c r="R16" s="34" t="n">
        <x:f>Master_Comparison!R12</x:f>
        <x:v>950</x:v>
      </x:c>
      <x:c r="S16" s="36" t="n">
        <x:f>Master_Comparison!S12</x:f>
        <x:v>0.5516154247003647</x:v>
      </x:c>
      <x:c r="T16" s="36" t="n">
        <x:f>Master_Comparison!T12</x:f>
        <x:v>0.41461698801459096</x:v>
      </x:c>
      <x:c r="U16" t="str">
        <x:f>Master_Comparison!U12</x:f>
        <x:v>Adeleke</x:v>
      </x:c>
      <x:c r="V16" s="34" t="n">
        <x:f>Master_Comparison!V12</x:f>
        <x:v>5258</x:v>
      </x:c>
      <x:c r="W16" s="54" t="str">
        <x:v>Cross-validated / state reconciled</x:v>
      </x:c>
      <x:c r="X16" s="54" t="str">
        <x:v>Cross-validated / state reconciled</x:v>
      </x:c>
      <x:c r="Y16" s="34" t="n">
        <x:f>Master_Comparison!W12</x:f>
        <x:v>7639</x:v>
      </x:c>
      <x:c r="Z16" s="34" t="n">
        <x:f>Master_Comparison!X12</x:f>
        <x:v>-1967</x:v>
      </x:c>
      <x:c r="AA16" s="38" t="n">
        <x:f>Master_Comparison!Y12</x:f>
        <x:v>13.580913168168236</x:v>
      </x:c>
      <x:c r="AB16" s="38" t="n">
        <x:f>Master_Comparison!Z12</x:f>
        <x:v>-13.479304148393407</x:v>
      </x:c>
    </x:row>
    <x:row r="17">
      <x:c r="A17" t="str">
        <x:f>Master_Comparison!A13</x:f>
        <x:v>Ife East</x:v>
      </x:c>
      <x:c r="B17" s="34" t="n">
        <x:f>Master_Comparison!B13</x:f>
        <x:v>18071</x:v>
      </x:c>
      <x:c r="C17" s="34" t="n">
        <x:f>Master_Comparison!C13</x:f>
        <x:v>19353</x:v>
      </x:c>
      <x:c r="D17" s="34" t="n">
        <x:f>Master_Comparison!D13</x:f>
        <x:v>1701</x:v>
      </x:c>
      <x:c r="E17" s="34" t="n">
        <x:f>Master_Comparison!E13</x:f>
        <x:v>39125</x:v>
      </x:c>
      <x:c r="F17" s="36" t="n">
        <x:f>Master_Comparison!F13</x:f>
        <x:v>0.355</x:v>
      </x:c>
      <x:c r="G17" t="str">
        <x:f>Master_Comparison!I13</x:f>
        <x:v>APC</x:v>
      </x:c>
      <x:c r="H17" s="34" t="n">
        <x:f>Master_Comparison!J13</x:f>
        <x:v>1282</x:v>
      </x:c>
      <x:c r="I17" s="21" t="str">
        <x:v>Cross-validated</x:v>
      </x:c>
      <x:c r="J17" s="21" t="str">
        <x:v>Cross-validated secondary</x:v>
      </x:c>
      <x:c r="K17" s="34" t="n">
        <x:f>Master_Comparison!K13</x:f>
        <x:v>27201</x:v>
      </x:c>
      <x:c r="L17" s="34" t="n">
        <x:f>Master_Comparison!L13</x:f>
        <x:v>18600</x:v>
      </x:c>
      <x:c r="M17" s="34" t="n">
        <x:f>Master_Comparison!M13</x:f>
        <x:v>935</x:v>
      </x:c>
      <x:c r="N17" s="34" t="n">
        <x:f>Master_Comparison!N13</x:f>
        <x:v>783</x:v>
      </x:c>
      <x:c r="O17" s="34" t="n">
        <x:f>Master_Comparison!O13</x:f>
        <x:v>47519</x:v>
      </x:c>
      <x:c r="P17" s="34" t="n">
        <x:f>Master_Comparison!P13</x:f>
        <x:v>49065</x:v>
      </x:c>
      <x:c r="Q17" s="34" t="n">
        <x:f>Master_Comparison!Q13</x:f>
        <x:v>49017</x:v>
      </x:c>
      <x:c r="R17" s="34" t="n">
        <x:f>Master_Comparison!R13</x:f>
        <x:v>1498</x:v>
      </x:c>
      <x:c r="S17" s="36" t="n">
        <x:f>Master_Comparison!S13</x:f>
        <x:v>0.5724236621141017</x:v>
      </x:c>
      <x:c r="T17" s="36" t="n">
        <x:f>Master_Comparison!T13</x:f>
        <x:v>0.39142237841705424</x:v>
      </x:c>
      <x:c r="U17" t="str">
        <x:f>Master_Comparison!U13</x:f>
        <x:v>Adeleke</x:v>
      </x:c>
      <x:c r="V17" s="34" t="n">
        <x:f>Master_Comparison!V13</x:f>
        <x:v>8601</x:v>
      </x:c>
      <x:c r="W17" s="54" t="str">
        <x:v>Cross-validated / state reconciled</x:v>
      </x:c>
      <x:c r="X17" s="54" t="str">
        <x:v>Cross-validated / state reconciled</x:v>
      </x:c>
      <x:c r="Y17" s="34" t="n">
        <x:f>Master_Comparison!W13</x:f>
        <x:v>9130</x:v>
      </x:c>
      <x:c r="Z17" s="34" t="n">
        <x:f>Master_Comparison!X13</x:f>
        <x:v>-753</x:v>
      </x:c>
      <x:c r="AA17" s="38" t="n">
        <x:f>Master_Comparison!Y13</x:f>
        <x:v>11.054506786490037</x:v>
      </x:c>
      <x:c r="AB17" s="38" t="n">
        <x:f>Master_Comparison!Z13</x:f>
        <x:v>-10.322298899508636</x:v>
      </x:c>
    </x:row>
    <x:row r="18">
      <x:c r="A18" t="str">
        <x:f>Master_Comparison!A14</x:f>
        <x:v>Ife North</x:v>
      </x:c>
      <x:c r="B18" s="34" t="n">
        <x:f>Master_Comparison!B14</x:f>
        <x:v>10359</x:v>
      </x:c>
      <x:c r="C18" s="34" t="n">
        <x:f>Master_Comparison!C14</x:f>
        <x:v>9964</x:v>
      </x:c>
      <x:c r="D18" s="34" t="n">
        <x:f>Master_Comparison!D14</x:f>
        <x:v>727</x:v>
      </x:c>
      <x:c r="E18" s="34" t="n">
        <x:f>Master_Comparison!E14</x:f>
        <x:v>21050</x:v>
      </x:c>
      <x:c r="F18" s="36" t="n">
        <x:f>Master_Comparison!F14</x:f>
        <x:v>0.3699</x:v>
      </x:c>
      <x:c r="G18" t="str">
        <x:f>Master_Comparison!I14</x:f>
        <x:v>Adeleke</x:v>
      </x:c>
      <x:c r="H18" s="34" t="n">
        <x:f>Master_Comparison!J14</x:f>
        <x:v>395</x:v>
      </x:c>
      <x:c r="I18" s="21" t="str">
        <x:v>Cross-validated</x:v>
      </x:c>
      <x:c r="J18" s="21" t="str">
        <x:v>Cross-validated secondary</x:v>
      </x:c>
      <x:c r="K18" s="34" t="n">
        <x:f>Master_Comparison!K14</x:f>
        <x:v>13879</x:v>
      </x:c>
      <x:c r="L18" s="34" t="n">
        <x:f>Master_Comparison!L14</x:f>
        <x:v>9613</x:v>
      </x:c>
      <x:c r="M18" s="34" t="n">
        <x:f>Master_Comparison!M14</x:f>
        <x:v>333</x:v>
      </x:c>
      <x:c r="N18" s="34" t="n">
        <x:f>Master_Comparison!N14</x:f>
        <x:v>391</x:v>
      </x:c>
      <x:c r="O18" s="34" t="n">
        <x:f>Master_Comparison!O14</x:f>
        <x:v>24216</x:v>
      </x:c>
      <x:c r="P18" s="34" t="n">
        <x:f>Master_Comparison!P14</x:f>
        <x:v>24772</x:v>
      </x:c>
      <x:c r="Q18" s="34" t="n">
        <x:f>Master_Comparison!Q14</x:f>
        <x:v>24704</x:v>
      </x:c>
      <x:c r="R18" s="34" t="n">
        <x:f>Master_Comparison!R14</x:f>
        <x:v>488</x:v>
      </x:c>
      <x:c r="S18" s="36" t="n">
        <x:f>Master_Comparison!S14</x:f>
        <x:v>0.5731334654773703</x:v>
      </x:c>
      <x:c r="T18" s="36" t="n">
        <x:f>Master_Comparison!T14</x:f>
        <x:v>0.3969689461513049</x:v>
      </x:c>
      <x:c r="U18" t="str">
        <x:f>Master_Comparison!U14</x:f>
        <x:v>Adeleke</x:v>
      </x:c>
      <x:c r="V18" s="34" t="n">
        <x:f>Master_Comparison!V14</x:f>
        <x:v>4266</x:v>
      </x:c>
      <x:c r="W18" s="54" t="str">
        <x:v>Cross-validated / state reconciled</x:v>
      </x:c>
      <x:c r="X18" s="54" t="str">
        <x:v>Cross-validated / state reconciled</x:v>
      </x:c>
      <x:c r="Y18" s="34" t="n">
        <x:f>Master_Comparison!W14</x:f>
        <x:v>3520</x:v>
      </x:c>
      <x:c r="Z18" s="34" t="n">
        <x:f>Master_Comparison!X14</x:f>
        <x:v>-351</x:v>
      </x:c>
      <x:c r="AA18" s="38" t="n">
        <x:f>Master_Comparison!Y14</x:f>
        <x:v>8.101945122558885</x:v>
      </x:c>
      <x:c r="AB18" s="38" t="n">
        <x:f>Master_Comparison!Z14</x:f>
        <x:v>-7.638022249477588</x:v>
      </x:c>
    </x:row>
    <x:row r="19">
      <x:c r="A19" t="str">
        <x:f>Master_Comparison!A15</x:f>
        <x:v>Ife South</x:v>
      </x:c>
      <x:c r="B19" s="34" t="n">
        <x:f>Master_Comparison!B15</x:f>
        <x:v>9116</x:v>
      </x:c>
      <x:c r="C19" s="34" t="n">
        <x:f>Master_Comparison!C15</x:f>
        <x:v>12481</x:v>
      </x:c>
      <x:c r="D19" s="34" t="n">
        <x:f>Master_Comparison!D15</x:f>
        <x:v>729</x:v>
      </x:c>
      <x:c r="E19" s="34" t="n">
        <x:f>Master_Comparison!E15</x:f>
        <x:v>22326</x:v>
      </x:c>
      <x:c r="F19" s="36" t="n">
        <x:f>Master_Comparison!F15</x:f>
        <x:v>0.4041</x:v>
      </x:c>
      <x:c r="G19" t="str">
        <x:f>Master_Comparison!I15</x:f>
        <x:v>APC</x:v>
      </x:c>
      <x:c r="H19" s="34" t="n">
        <x:f>Master_Comparison!J15</x:f>
        <x:v>3365</x:v>
      </x:c>
      <x:c r="I19" s="21" t="str">
        <x:v>Cross-validated</x:v>
      </x:c>
      <x:c r="J19" s="21" t="str">
        <x:v>Cross-validated secondary</x:v>
      </x:c>
      <x:c r="K19" s="34" t="n">
        <x:f>Master_Comparison!K15</x:f>
        <x:v>13507</x:v>
      </x:c>
      <x:c r="L19" s="34" t="n">
        <x:f>Master_Comparison!L15</x:f>
        <x:v>14678</x:v>
      </x:c>
      <x:c r="M19" s="34" t="n">
        <x:f>Master_Comparison!M15</x:f>
        <x:v>290</x:v>
      </x:c>
      <x:c r="N19" s="34" t="n">
        <x:f>Master_Comparison!N15</x:f>
        <x:v>431</x:v>
      </x:c>
      <x:c r="O19" s="34" t="n">
        <x:f>Master_Comparison!O15</x:f>
        <x:v>28906</x:v>
      </x:c>
      <x:c r="P19" s="34" t="n">
        <x:f>Master_Comparison!P15</x:f>
        <x:v>29521</x:v>
      </x:c>
      <x:c r="Q19" s="34" t="n">
        <x:f>Master_Comparison!Q15</x:f>
        <x:v>29461</x:v>
      </x:c>
      <x:c r="R19" s="34" t="n">
        <x:f>Master_Comparison!R15</x:f>
        <x:v>555</x:v>
      </x:c>
      <x:c r="S19" s="36" t="n">
        <x:f>Master_Comparison!S15</x:f>
        <x:v>0.46727323047118247</x:v>
      </x:c>
      <x:c r="T19" s="36" t="n">
        <x:f>Master_Comparison!T15</x:f>
        <x:v>0.5077838511035772</x:v>
      </x:c>
      <x:c r="U19" t="str">
        <x:f>Master_Comparison!U15</x:f>
        <x:v>APC</x:v>
      </x:c>
      <x:c r="V19" s="34" t="n">
        <x:f>Master_Comparison!V15</x:f>
        <x:v>1171</x:v>
      </x:c>
      <x:c r="W19" s="54" t="str">
        <x:v>Cross-validated / state reconciled</x:v>
      </x:c>
      <x:c r="X19" s="54" t="str">
        <x:v>Cross-validated / state reconciled</x:v>
      </x:c>
      <x:c r="Y19" s="34" t="n">
        <x:f>Master_Comparison!W15</x:f>
        <x:v>4391</x:v>
      </x:c>
      <x:c r="Z19" s="34" t="n">
        <x:f>Master_Comparison!X15</x:f>
        <x:v>2197</x:v>
      </x:c>
      <x:c r="AA19" s="38" t="n">
        <x:f>Master_Comparison!Y15</x:f>
        <x:v>5.896005300992652</x:v>
      </x:c>
      <x:c r="AB19" s="38" t="n">
        <x:f>Master_Comparison!Z15</x:f>
        <x:v>-5.1250458669781285</x:v>
      </x:c>
    </x:row>
    <x:row r="20">
      <x:c r="A20" t="str">
        <x:f>Master_Comparison!A16</x:f>
        <x:v>Ifedayo</x:v>
      </x:c>
      <x:c r="B20" s="34" t="n">
        <x:f>Master_Comparison!B16</x:f>
        <x:v>4730</x:v>
      </x:c>
      <x:c r="C20" s="34" t="n">
        <x:f>Master_Comparison!C16</x:f>
        <x:v>5016</x:v>
      </x:c>
      <x:c r="D20" s="34" t="n">
        <x:f>Master_Comparison!D16</x:f>
        <x:v>166</x:v>
      </x:c>
      <x:c r="E20" s="34" t="n">
        <x:f>Master_Comparison!E16</x:f>
        <x:v>9912</x:v>
      </x:c>
      <x:c r="F20" s="36" t="n">
        <x:f>Master_Comparison!F16</x:f>
        <x:v>0.5121</x:v>
      </x:c>
      <x:c r="G20" t="str">
        <x:f>Master_Comparison!I16</x:f>
        <x:v>APC</x:v>
      </x:c>
      <x:c r="H20" s="34" t="n">
        <x:f>Master_Comparison!J16</x:f>
        <x:v>286</x:v>
      </x:c>
      <x:c r="I20" s="21" t="str">
        <x:v>Cross-validated</x:v>
      </x:c>
      <x:c r="J20" s="21" t="str">
        <x:v>Cross-validated secondary</x:v>
      </x:c>
      <x:c r="K20" s="34" t="n">
        <x:f>Master_Comparison!K16</x:f>
        <x:v>7427</x:v>
      </x:c>
      <x:c r="L20" s="34" t="n">
        <x:f>Master_Comparison!L16</x:f>
        <x:v>6836</x:v>
      </x:c>
      <x:c r="M20" s="34" t="n">
        <x:f>Master_Comparison!M16</x:f>
        <x:v>115</x:v>
      </x:c>
      <x:c r="N20" s="34" t="n">
        <x:f>Master_Comparison!N16</x:f>
        <x:v>71</x:v>
      </x:c>
      <x:c r="O20" s="34" t="n">
        <x:f>Master_Comparison!O16</x:f>
        <x:v>14449</x:v>
      </x:c>
      <x:c r="P20" s="34" t="n">
        <x:f>Master_Comparison!P16</x:f>
        <x:v>14703</x:v>
      </x:c>
      <x:c r="Q20" s="34" t="n">
        <x:f>Master_Comparison!Q16</x:f>
        <x:v>14703</x:v>
      </x:c>
      <x:c r="R20" s="34" t="n">
        <x:f>Master_Comparison!R16</x:f>
        <x:v>254</x:v>
      </x:c>
      <x:c r="S20" s="36" t="n">
        <x:f>Master_Comparison!S16</x:f>
        <x:v>0.5140148107135442</x:v>
      </x:c>
      <x:c r="T20" s="36" t="n">
        <x:f>Master_Comparison!T16</x:f>
        <x:v>0.47311232611253373</x:v>
      </x:c>
      <x:c r="U20" t="str">
        <x:f>Master_Comparison!U16</x:f>
        <x:v>Adeleke</x:v>
      </x:c>
      <x:c r="V20" s="34" t="n">
        <x:f>Master_Comparison!V16</x:f>
        <x:v>591</x:v>
      </x:c>
      <x:c r="W20" s="54" t="str">
        <x:v>Cross-validated / state reconciled</x:v>
      </x:c>
      <x:c r="X20" s="54" t="str">
        <x:v>Cross-validated correction</x:v>
      </x:c>
      <x:c r="Y20" s="34" t="n">
        <x:f>Master_Comparison!W16</x:f>
        <x:v>2697</x:v>
      </x:c>
      <x:c r="Z20" s="34" t="n">
        <x:f>Master_Comparison!X16</x:f>
        <x:v>1820</x:v>
      </x:c>
      <x:c r="AA20" s="38" t="n">
        <x:f>Master_Comparison!Y16</x:f>
        <x:v>3.681545639554579</x:v>
      </x:c>
      <x:c r="AB20" s="38" t="n">
        <x:f>Master_Comparison!Z16</x:f>
        <x:v>-3.294094265259939</x:v>
      </x:c>
    </x:row>
    <x:row r="21">
      <x:c r="A21" t="str">
        <x:f>Master_Comparison!A17</x:f>
        <x:v>Ifelodun</x:v>
      </x:c>
      <x:c r="B21" s="34" t="n">
        <x:f>Master_Comparison!B17</x:f>
        <x:v>17107</x:v>
      </x:c>
      <x:c r="C21" s="34" t="n">
        <x:f>Master_Comparison!C17</x:f>
        <x:v>16068</x:v>
      </x:c>
      <x:c r="D21" s="34" t="n">
        <x:f>Master_Comparison!D17</x:f>
        <x:v>861</x:v>
      </x:c>
      <x:c r="E21" s="34" t="n">
        <x:f>Master_Comparison!E17</x:f>
        <x:v>34036</x:v>
      </x:c>
      <x:c r="F21" s="36" t="n">
        <x:f>Master_Comparison!F17</x:f>
        <x:v>0.4352</x:v>
      </x:c>
      <x:c r="G21" t="str">
        <x:f>Master_Comparison!I17</x:f>
        <x:v>Adeleke</x:v>
      </x:c>
      <x:c r="H21" s="34" t="n">
        <x:f>Master_Comparison!J17</x:f>
        <x:v>1039</x:v>
      </x:c>
      <x:c r="I21" s="21" t="str">
        <x:v>Cross-validated</x:v>
      </x:c>
      <x:c r="J21" s="21" t="str">
        <x:v>Cross-validated secondary</x:v>
      </x:c>
      <x:c r="K21" s="34" t="n">
        <x:f>Master_Comparison!K17</x:f>
        <x:v>21107</x:v>
      </x:c>
      <x:c r="L21" s="34" t="n">
        <x:f>Master_Comparison!L17</x:f>
        <x:v>18396</x:v>
      </x:c>
      <x:c r="M21" s="34" t="n">
        <x:f>Master_Comparison!M17</x:f>
        <x:v>509</x:v>
      </x:c>
      <x:c r="N21" s="34" t="n">
        <x:f>Master_Comparison!N17</x:f>
        <x:v>454</x:v>
      </x:c>
      <x:c r="O21" s="34" t="n">
        <x:f>Master_Comparison!O17</x:f>
        <x:v>40466</x:v>
      </x:c>
      <x:c r="P21" s="34" t="n">
        <x:f>Master_Comparison!P17</x:f>
        <x:v>41156</x:v>
      </x:c>
      <x:c r="Q21" s="34" t="n">
        <x:f>Master_Comparison!Q17</x:f>
        <x:v>41143</x:v>
      </x:c>
      <x:c r="R21" s="34" t="n">
        <x:f>Master_Comparison!R17</x:f>
        <x:v>677</x:v>
      </x:c>
      <x:c r="S21" s="36" t="n">
        <x:f>Master_Comparison!S17</x:f>
        <x:v>0.5215983788859784</x:v>
      </x:c>
      <x:c r="T21" s="36" t="n">
        <x:f>Master_Comparison!T17</x:f>
        <x:v>0.4546038649730638</x:v>
      </x:c>
      <x:c r="U21" t="str">
        <x:f>Master_Comparison!U17</x:f>
        <x:v>Adeleke</x:v>
      </x:c>
      <x:c r="V21" s="34" t="n">
        <x:f>Master_Comparison!V17</x:f>
        <x:v>2711</x:v>
      </x:c>
      <x:c r="W21" s="54" t="str">
        <x:v>Cross-validated / state reconciled</x:v>
      </x:c>
      <x:c r="X21" s="54" t="str">
        <x:v>Cross-validated / state reconciled</x:v>
      </x:c>
      <x:c r="Y21" s="34" t="n">
        <x:f>Master_Comparison!W17</x:f>
        <x:v>4000</x:v>
      </x:c>
      <x:c r="Z21" s="34" t="n">
        <x:f>Master_Comparison!X17</x:f>
        <x:v>2328</x:v>
      </x:c>
      <x:c r="AA21" s="38" t="n">
        <x:f>Master_Comparison!Y17</x:f>
        <x:v>1.8983500521893237</x:v>
      </x:c>
      <x:c r="AB21" s="38" t="n">
        <x:f>Master_Comparison!Z17</x:f>
        <x:v>-1.7484512039511124</x:v>
      </x:c>
    </x:row>
    <x:row r="22">
      <x:c r="A22" t="str">
        <x:f>Master_Comparison!A18</x:f>
        <x:v>Ila</x:v>
      </x:c>
      <x:c r="B22" s="34" t="n">
        <x:f>Master_Comparison!B18</x:f>
        <x:v>13036</x:v>
      </x:c>
      <x:c r="C22" s="34" t="n">
        <x:f>Master_Comparison!C18</x:f>
        <x:v>11163</x:v>
      </x:c>
      <x:c r="D22" s="34" t="n">
        <x:f>Master_Comparison!D18</x:f>
        <x:v>373</x:v>
      </x:c>
      <x:c r="E22" s="34" t="n">
        <x:f>Master_Comparison!E18</x:f>
        <x:v>24572</x:v>
      </x:c>
      <x:c r="F22" s="36" t="n">
        <x:f>Master_Comparison!F18</x:f>
        <x:v>0.5342</x:v>
      </x:c>
      <x:c r="G22" t="str">
        <x:f>Master_Comparison!I18</x:f>
        <x:v>Adeleke</x:v>
      </x:c>
      <x:c r="H22" s="34" t="n">
        <x:f>Master_Comparison!J18</x:f>
        <x:v>1873</x:v>
      </x:c>
      <x:c r="I22" s="21" t="str">
        <x:v>Cross-validated</x:v>
      </x:c>
      <x:c r="J22" s="21" t="str">
        <x:v>Cross-validated secondary</x:v>
      </x:c>
      <x:c r="K22" s="34" t="n">
        <x:f>Master_Comparison!K18</x:f>
        <x:v>16211</x:v>
      </x:c>
      <x:c r="L22" s="34" t="n">
        <x:f>Master_Comparison!L18</x:f>
        <x:v>12934</x:v>
      </x:c>
      <x:c r="M22" s="34" t="n">
        <x:f>Master_Comparison!M18</x:f>
        <x:v>259</x:v>
      </x:c>
      <x:c r="N22" s="34" t="n">
        <x:f>Master_Comparison!N18</x:f>
        <x:v>201</x:v>
      </x:c>
      <x:c r="O22" s="34" t="n">
        <x:f>Master_Comparison!O18</x:f>
        <x:v>29605</x:v>
      </x:c>
      <x:c r="P22" s="34" t="n">
        <x:f>Master_Comparison!P18</x:f>
        <x:v>30028</x:v>
      </x:c>
      <x:c r="Q22" s="34" t="n">
        <x:f>Master_Comparison!Q18</x:f>
        <x:v>30021</x:v>
      </x:c>
      <x:c r="R22" s="34" t="n">
        <x:f>Master_Comparison!R18</x:f>
        <x:v>416</x:v>
      </x:c>
      <x:c r="S22" s="36" t="n">
        <x:f>Master_Comparison!S18</x:f>
        <x:v>0.5475764229015369</x:v>
      </x:c>
      <x:c r="T22" s="36" t="n">
        <x:f>Master_Comparison!T18</x:f>
        <x:v>0.4368856612058774</x:v>
      </x:c>
      <x:c r="U22" t="str">
        <x:f>Master_Comparison!U18</x:f>
        <x:v>Adeleke</x:v>
      </x:c>
      <x:c r="V22" s="34" t="n">
        <x:f>Master_Comparison!V18</x:f>
        <x:v>3277</x:v>
      </x:c>
      <x:c r="W22" s="54" t="str">
        <x:v>Cross-validated / state reconciled</x:v>
      </x:c>
      <x:c r="X22" s="54" t="str">
        <x:v>Cross-validated / state reconciled</x:v>
      </x:c>
      <x:c r="Y22" s="34" t="n">
        <x:f>Master_Comparison!W18</x:f>
        <x:v>3175</x:v>
      </x:c>
      <x:c r="Z22" s="34" t="n">
        <x:f>Master_Comparison!X18</x:f>
        <x:v>1771</x:v>
      </x:c>
      <x:c r="AA22" s="38" t="n">
        <x:f>Master_Comparison!Y18</x:f>
        <x:v>1.7053876914234212</x:v>
      </x:c>
      <x:c r="AB22" s="38" t="n">
        <x:f>Master_Comparison!Z18</x:f>
        <x:v>-1.7411913269134827</x:v>
      </x:c>
    </x:row>
    <x:row r="23">
      <x:c r="A23" t="str">
        <x:f>Master_Comparison!A19</x:f>
        <x:v>Ilesa East</x:v>
      </x:c>
      <x:c r="B23" s="34" t="n">
        <x:f>Master_Comparison!B19</x:f>
        <x:v>10969</x:v>
      </x:c>
      <x:c r="C23" s="34" t="n">
        <x:f>Master_Comparison!C19</x:f>
        <x:v>13452</x:v>
      </x:c>
      <x:c r="D23" s="34" t="n">
        <x:f>Master_Comparison!D19</x:f>
        <x:v>921</x:v>
      </x:c>
      <x:c r="E23" s="34" t="n">
        <x:f>Master_Comparison!E19</x:f>
        <x:v>25342</x:v>
      </x:c>
      <x:c r="F23" s="36" t="n">
        <x:f>Master_Comparison!F19</x:f>
        <x:v>0.356</x:v>
      </x:c>
      <x:c r="G23" t="str">
        <x:f>Master_Comparison!I19</x:f>
        <x:v>APC</x:v>
      </x:c>
      <x:c r="H23" s="34" t="n">
        <x:f>Master_Comparison!J19</x:f>
        <x:v>2483</x:v>
      </x:c>
      <x:c r="I23" s="21" t="str">
        <x:v>Cross-validated</x:v>
      </x:c>
      <x:c r="J23" s="21" t="str">
        <x:v>Cross-validated secondary</x:v>
      </x:c>
      <x:c r="K23" s="34" t="n">
        <x:f>Master_Comparison!K19</x:f>
        <x:v>12280</x:v>
      </x:c>
      <x:c r="L23" s="34" t="n">
        <x:f>Master_Comparison!L19</x:f>
        <x:v>16208</x:v>
      </x:c>
      <x:c r="M23" s="34" t="n">
        <x:f>Master_Comparison!M19</x:f>
        <x:v>504</x:v>
      </x:c>
      <x:c r="N23" s="34" t="n">
        <x:f>Master_Comparison!N19</x:f>
        <x:v>468</x:v>
      </x:c>
      <x:c r="O23" s="34" t="n">
        <x:f>Master_Comparison!O19</x:f>
        <x:v>29460</x:v>
      </x:c>
      <x:c r="P23" s="34" t="n">
        <x:f>Master_Comparison!P19</x:f>
        <x:v>30371</x:v>
      </x:c>
      <x:c r="Q23" s="34" t="n">
        <x:f>Master_Comparison!Q19</x:f>
        <x:v>30209</x:v>
      </x:c>
      <x:c r="R23" s="34" t="n">
        <x:f>Master_Comparison!R19</x:f>
        <x:v>749</x:v>
      </x:c>
      <x:c r="S23" s="36" t="n">
        <x:f>Master_Comparison!S19</x:f>
        <x:v>0.41683638832315</x:v>
      </x:c>
      <x:c r="T23" s="36" t="n">
        <x:f>Master_Comparison!T19</x:f>
        <x:v>0.5501697216564834</x:v>
      </x:c>
      <x:c r="U23" t="str">
        <x:f>Master_Comparison!U19</x:f>
        <x:v>APC</x:v>
      </x:c>
      <x:c r="V23" s="34" t="n">
        <x:f>Master_Comparison!V19</x:f>
        <x:v>3928</x:v>
      </x:c>
      <x:c r="W23" s="54" t="str">
        <x:v>Cross-validated / state reconciled</x:v>
      </x:c>
      <x:c r="X23" s="54" t="str">
        <x:v>Cross-validated / state reconciled</x:v>
      </x:c>
      <x:c r="Y23" s="34" t="n">
        <x:f>Master_Comparison!W19</x:f>
        <x:v>1311</x:v>
      </x:c>
      <x:c r="Z23" s="34" t="n">
        <x:f>Master_Comparison!X19</x:f>
        <x:v>2756</x:v>
      </x:c>
      <x:c r="AA23" s="38" t="n">
        <x:f>Master_Comparison!Y19</x:f>
        <x:v>-1.600237736227339</x:v>
      </x:c>
      <x:c r="AB23" s="38" t="n">
        <x:f>Master_Comparison!Z19</x:f>
        <x:v>1.9351317426351544</x:v>
      </x:c>
    </x:row>
    <x:row r="24">
      <x:c r="A24" t="str">
        <x:f>Master_Comparison!A20</x:f>
        <x:v>Ilesa West</x:v>
      </x:c>
      <x:c r="B24" s="34" t="n">
        <x:f>Master_Comparison!B20</x:f>
        <x:v>13769</x:v>
      </x:c>
      <x:c r="C24" s="34" t="n">
        <x:f>Master_Comparison!C20</x:f>
        <x:v>10777</x:v>
      </x:c>
      <x:c r="D24" s="34" t="n">
        <x:f>Master_Comparison!D20</x:f>
        <x:v>857</x:v>
      </x:c>
      <x:c r="E24" s="34" t="n">
        <x:f>Master_Comparison!E20</x:f>
        <x:v>25403</x:v>
      </x:c>
      <x:c r="F24" s="36" t="n">
        <x:f>Master_Comparison!F20</x:f>
        <x:v>0.3702</x:v>
      </x:c>
      <x:c r="G24" t="str">
        <x:f>Master_Comparison!I20</x:f>
        <x:v>Adeleke</x:v>
      </x:c>
      <x:c r="H24" s="34" t="n">
        <x:f>Master_Comparison!J20</x:f>
        <x:v>2992</x:v>
      </x:c>
      <x:c r="I24" s="21" t="str">
        <x:v>Cross-validated</x:v>
      </x:c>
      <x:c r="J24" s="21" t="str">
        <x:v>Cross-validated secondary</x:v>
      </x:c>
      <x:c r="K24" s="34" t="n">
        <x:f>Master_Comparison!K20</x:f>
        <x:v>16196</x:v>
      </x:c>
      <x:c r="L24" s="34" t="n">
        <x:f>Master_Comparison!L20</x:f>
        <x:v>12756</x:v>
      </x:c>
      <x:c r="M24" s="34" t="n">
        <x:f>Master_Comparison!M20</x:f>
        <x:v>673</x:v>
      </x:c>
      <x:c r="N24" s="34" t="n">
        <x:f>Master_Comparison!N20</x:f>
        <x:v>619</x:v>
      </x:c>
      <x:c r="O24" s="34" t="n">
        <x:f>Master_Comparison!O20</x:f>
        <x:v>30244</x:v>
      </x:c>
      <x:c r="P24" s="34" t="n">
        <x:f>Master_Comparison!P20</x:f>
        <x:v>31333</x:v>
      </x:c>
      <x:c r="Q24" s="34" t="n">
        <x:f>Master_Comparison!Q20</x:f>
        <x:v>31234</x:v>
      </x:c>
      <x:c r="R24" s="34" t="n">
        <x:f>Master_Comparison!R20</x:f>
        <x:v>990</x:v>
      </x:c>
      <x:c r="S24" s="36" t="n">
        <x:f>Master_Comparison!S20</x:f>
        <x:v>0.5355111757704007</x:v>
      </x:c>
      <x:c r="T24" s="36" t="n">
        <x:f>Master_Comparison!T20</x:f>
        <x:v>0.4217696071948155</x:v>
      </x:c>
      <x:c r="U24" t="str">
        <x:f>Master_Comparison!U20</x:f>
        <x:v>Adeleke</x:v>
      </x:c>
      <x:c r="V24" s="34" t="n">
        <x:f>Master_Comparison!V20</x:f>
        <x:v>3440</x:v>
      </x:c>
      <x:c r="W24" s="54" t="str">
        <x:v>Cross-validated / state reconciled</x:v>
      </x:c>
      <x:c r="X24" s="54" t="str">
        <x:v>Cross-validated / state reconciled</x:v>
      </x:c>
      <x:c r="Y24" s="34" t="n">
        <x:f>Master_Comparison!W20</x:f>
        <x:v>2427</x:v>
      </x:c>
      <x:c r="Z24" s="34" t="n">
        <x:f>Master_Comparison!X20</x:f>
        <x:v>1979</x:v>
      </x:c>
      <x:c r="AA24" s="38" t="n">
        <x:f>Master_Comparison!Y20</x:f>
        <x:v>-0.6511419986006017</x:v>
      </x:c>
      <x:c r="AB24" s="38" t="n">
        <x:f>Master_Comparison!Z20</x:f>
        <x:v>-0.24716241558123686</x:v>
      </x:c>
    </x:row>
    <x:row r="25">
      <x:c r="A25" t="str">
        <x:f>Master_Comparison!A21</x:f>
        <x:v>Irepodun</x:v>
      </x:c>
      <x:c r="B25" s="34" t="n">
        <x:f>Master_Comparison!B21</x:f>
        <x:v>14369</x:v>
      </x:c>
      <x:c r="C25" s="34" t="n">
        <x:f>Master_Comparison!C21</x:f>
        <x:v>12122</x:v>
      </x:c>
      <x:c r="D25" s="34" t="n">
        <x:f>Master_Comparison!D21</x:f>
        <x:v>2541</x:v>
      </x:c>
      <x:c r="E25" s="34" t="n">
        <x:f>Master_Comparison!E21</x:f>
        <x:v>29032</x:v>
      </x:c>
      <x:c r="F25" s="36" t="n">
        <x:f>Master_Comparison!F21</x:f>
        <x:v>0.5125</x:v>
      </x:c>
      <x:c r="G25" t="str">
        <x:f>Master_Comparison!I21</x:f>
        <x:v>Adeleke</x:v>
      </x:c>
      <x:c r="H25" s="34" t="n">
        <x:f>Master_Comparison!J21</x:f>
        <x:v>2247</x:v>
      </x:c>
      <x:c r="I25" s="21" t="str">
        <x:v>Cross-validated</x:v>
      </x:c>
      <x:c r="J25" s="21" t="str">
        <x:v>Cross-validated secondary</x:v>
      </x:c>
      <x:c r="K25" s="34" t="n">
        <x:f>Master_Comparison!K21</x:f>
        <x:v>14504</x:v>
      </x:c>
      <x:c r="L25" s="34" t="n">
        <x:f>Master_Comparison!L21</x:f>
        <x:v>15713</x:v>
      </x:c>
      <x:c r="M25" s="34" t="n">
        <x:f>Master_Comparison!M21</x:f>
        <x:v>249</x:v>
      </x:c>
      <x:c r="N25" s="34" t="n">
        <x:f>Master_Comparison!N21</x:f>
        <x:v>251</x:v>
      </x:c>
      <x:c r="O25" s="34" t="n">
        <x:f>Master_Comparison!O21</x:f>
        <x:v>30717</x:v>
      </x:c>
      <x:c r="P25" s="34" t="n">
        <x:f>Master_Comparison!P21</x:f>
        <x:v>31291</x:v>
      </x:c>
      <x:c r="Q25" s="34" t="n">
        <x:f>Master_Comparison!Q21</x:f>
        <x:v>31282</x:v>
      </x:c>
      <x:c r="R25" s="34" t="n">
        <x:f>Master_Comparison!R21</x:f>
        <x:v>565</x:v>
      </x:c>
      <x:c r="S25" s="36" t="n">
        <x:f>Master_Comparison!S21</x:f>
        <x:v>0.4721815281440245</x:v>
      </x:c>
      <x:c r="T25" s="36" t="n">
        <x:f>Master_Comparison!T21</x:f>
        <x:v>0.5115408405768792</x:v>
      </x:c>
      <x:c r="U25" t="str">
        <x:f>Master_Comparison!U21</x:f>
        <x:v>APC</x:v>
      </x:c>
      <x:c r="V25" s="34" t="n">
        <x:f>Master_Comparison!V21</x:f>
        <x:v>1209</x:v>
      </x:c>
      <x:c r="W25" s="54" t="str">
        <x:v>Cross-validated / state reconciled</x:v>
      </x:c>
      <x:c r="X25" s="54" t="str">
        <x:v>Cross-validated / state reconciled</x:v>
      </x:c>
      <x:c r="Y25" s="34" t="n">
        <x:f>Master_Comparison!W21</x:f>
        <x:v>135</x:v>
      </x:c>
      <x:c r="Z25" s="34" t="n">
        <x:f>Master_Comparison!X21</x:f>
        <x:v>3591</x:v>
      </x:c>
      <x:c r="AA25" s="38" t="n">
        <x:f>Master_Comparison!Y21</x:f>
        <x:v>-2.2755093514834734</x:v>
      </x:c>
      <x:c r="AB25" s="38" t="n">
        <x:f>Master_Comparison!Z21</x:f>
        <x:v>9.400157356117239</x:v>
      </x:c>
    </x:row>
    <x:row r="26">
      <x:c r="A26" t="str">
        <x:f>Master_Comparison!A22</x:f>
        <x:v>Irewole</x:v>
      </x:c>
      <x:c r="B26" s="34" t="n">
        <x:f>Master_Comparison!B22</x:f>
        <x:v>14216</x:v>
      </x:c>
      <x:c r="C26" s="34" t="n">
        <x:f>Master_Comparison!C22</x:f>
        <x:v>18198</x:v>
      </x:c>
      <x:c r="D26" s="34" t="n">
        <x:f>Master_Comparison!D22</x:f>
        <x:v>901</x:v>
      </x:c>
      <x:c r="E26" s="34" t="n">
        <x:f>Master_Comparison!E22</x:f>
        <x:v>33315</x:v>
      </x:c>
      <x:c r="F26" s="36" t="n">
        <x:f>Master_Comparison!F22</x:f>
        <x:v>0.4597</x:v>
      </x:c>
      <x:c r="G26" t="str">
        <x:f>Master_Comparison!I22</x:f>
        <x:v>APC</x:v>
      </x:c>
      <x:c r="H26" s="34" t="n">
        <x:f>Master_Comparison!J22</x:f>
        <x:v>3982</x:v>
      </x:c>
      <x:c r="I26" s="21" t="str">
        <x:v>Cross-validated</x:v>
      </x:c>
      <x:c r="J26" s="21" t="str">
        <x:v>Cross-validated secondary</x:v>
      </x:c>
      <x:c r="K26" s="34" t="n">
        <x:f>Master_Comparison!K22</x:f>
        <x:v>10934</x:v>
      </x:c>
      <x:c r="L26" s="34" t="n">
        <x:f>Master_Comparison!L22</x:f>
        <x:v>29972</x:v>
      </x:c>
      <x:c r="M26" s="34" t="n">
        <x:f>Master_Comparison!M22</x:f>
        <x:v>275</x:v>
      </x:c>
      <x:c r="N26" s="34" t="n">
        <x:f>Master_Comparison!N22</x:f>
        <x:v>394</x:v>
      </x:c>
      <x:c r="O26" s="34" t="n">
        <x:f>Master_Comparison!O22</x:f>
        <x:v>41575</x:v>
      </x:c>
      <x:c r="P26" s="34" t="n">
        <x:f>Master_Comparison!P22</x:f>
        <x:v>42858</x:v>
      </x:c>
      <x:c r="Q26" s="34" t="n">
        <x:f>Master_Comparison!Q22</x:f>
        <x:v>42824</x:v>
      </x:c>
      <x:c r="R26" s="34" t="n">
        <x:f>Master_Comparison!R22</x:f>
        <x:v>1249</x:v>
      </x:c>
      <x:c r="S26" s="36" t="n">
        <x:f>Master_Comparison!S22</x:f>
        <x:v>0.2629945880938064</x:v>
      </x:c>
      <x:c r="T26" s="36" t="n">
        <x:f>Master_Comparison!T22</x:f>
        <x:v>0.7209140108238123</x:v>
      </x:c>
      <x:c r="U26" t="str">
        <x:f>Master_Comparison!U22</x:f>
        <x:v>APC</x:v>
      </x:c>
      <x:c r="V26" s="34" t="n">
        <x:f>Master_Comparison!V22</x:f>
        <x:v>19038</x:v>
      </x:c>
      <x:c r="W26" s="54" t="str">
        <x:v>Cross-validated / state reconciled</x:v>
      </x:c>
      <x:c r="X26" s="54" t="str">
        <x:v>Cross-validated by arithmetic</x:v>
      </x:c>
      <x:c r="Y26" s="34" t="n">
        <x:f>Master_Comparison!W22</x:f>
        <x:v>-3282</x:v>
      </x:c>
      <x:c r="Z26" s="34" t="n">
        <x:f>Master_Comparison!X22</x:f>
        <x:v>11774</x:v>
      </x:c>
      <x:c r="AA26" s="38" t="n">
        <x:f>Master_Comparison!Y22</x:f>
        <x:v>-16.372010498738828</x:v>
      </x:c>
      <x:c r="AB26" s="38" t="n">
        <x:f>Master_Comparison!Z22</x:f>
        <x:v>17.467357858608157</x:v>
      </x:c>
    </x:row>
    <x:row r="27">
      <x:c r="A27" t="str">
        <x:f>Master_Comparison!A23</x:f>
        <x:v>Isokan</x:v>
      </x:c>
      <x:c r="B27" s="34" t="n">
        <x:f>Master_Comparison!B23</x:f>
        <x:v>10777</x:v>
      </x:c>
      <x:c r="C27" s="34" t="n">
        <x:f>Master_Comparison!C23</x:f>
        <x:v>10833</x:v>
      </x:c>
      <x:c r="D27" s="34" t="n">
        <x:f>Master_Comparison!D23</x:f>
        <x:v>743</x:v>
      </x:c>
      <x:c r="E27" s="34" t="n">
        <x:f>Master_Comparison!E23</x:f>
        <x:v>22353</x:v>
      </x:c>
      <x:c r="F27" s="36" t="n">
        <x:f>Master_Comparison!F23</x:f>
        <x:v>0.4314</x:v>
      </x:c>
      <x:c r="G27" t="str">
        <x:f>Master_Comparison!I23</x:f>
        <x:v>APC</x:v>
      </x:c>
      <x:c r="H27" s="34" t="n">
        <x:f>Master_Comparison!J23</x:f>
        <x:v>56</x:v>
      </x:c>
      <x:c r="I27" s="21" t="str">
        <x:v>Cross-validated</x:v>
      </x:c>
      <x:c r="J27" s="21" t="str">
        <x:v>Cross-validated secondary</x:v>
      </x:c>
      <x:c r="K27" s="34" t="n">
        <x:f>Master_Comparison!K23</x:f>
        <x:v>13765</x:v>
      </x:c>
      <x:c r="L27" s="34" t="n">
        <x:f>Master_Comparison!L23</x:f>
        <x:v>14063</x:v>
      </x:c>
      <x:c r="M27" s="34" t="n">
        <x:f>Master_Comparison!M23</x:f>
        <x:v>384</x:v>
      </x:c>
      <x:c r="N27" s="34" t="n">
        <x:f>Master_Comparison!N23</x:f>
        <x:v>504</x:v>
      </x:c>
      <x:c r="O27" s="34" t="n">
        <x:f>Master_Comparison!O23</x:f>
        <x:v>28716</x:v>
      </x:c>
      <x:c r="P27" s="34" t="n">
        <x:f>Master_Comparison!P23</x:f>
        <x:v>29421</x:v>
      </x:c>
      <x:c r="Q27" s="34" t="n">
        <x:f>Master_Comparison!Q23</x:f>
        <x:v>29405</x:v>
      </x:c>
      <x:c r="R27" s="34" t="n">
        <x:f>Master_Comparison!R23</x:f>
        <x:v>689</x:v>
      </x:c>
      <x:c r="S27" s="36" t="n">
        <x:f>Master_Comparison!S23</x:f>
        <x:v>0.47934949157264245</x:v>
      </x:c>
      <x:c r="T27" s="36" t="n">
        <x:f>Master_Comparison!T23</x:f>
        <x:v>0.4897269814737429</x:v>
      </x:c>
      <x:c r="U27" t="str">
        <x:f>Master_Comparison!U23</x:f>
        <x:v>APC</x:v>
      </x:c>
      <x:c r="V27" s="34" t="n">
        <x:f>Master_Comparison!V23</x:f>
        <x:v>298</x:v>
      </x:c>
      <x:c r="W27" s="54" t="str">
        <x:v>Cross-validated / state reconciled</x:v>
      </x:c>
      <x:c r="X27" s="54" t="str">
        <x:v>Cross-validated correction</x:v>
      </x:c>
      <x:c r="Y27" s="34" t="n">
        <x:f>Master_Comparison!W23</x:f>
        <x:v>2988</x:v>
      </x:c>
      <x:c r="Z27" s="34" t="n">
        <x:f>Master_Comparison!X23</x:f>
        <x:v>3230</x:v>
      </x:c>
      <x:c r="AA27" s="38" t="n">
        <x:f>Master_Comparison!Y23</x:f>
        <x:v>-0.2778187038729618</x:v>
      </x:c>
      <x:c r="AB27" s="38" t="n">
        <x:f>Master_Comparison!Z23</x:f>
        <x:v>0.5094046297256516</x:v>
      </x:c>
    </x:row>
    <x:row r="28">
      <x:c r="A28" t="str">
        <x:f>Master_Comparison!A24</x:f>
        <x:v>Iwo</x:v>
      </x:c>
      <x:c r="B28" s="34" t="n">
        <x:f>Master_Comparison!B24</x:f>
        <x:v>16914</x:v>
      </x:c>
      <x:c r="C28" s="34" t="n">
        <x:f>Master_Comparison!C24</x:f>
        <x:v>17421</x:v>
      </x:c>
      <x:c r="D28" s="34" t="n">
        <x:f>Master_Comparison!D24</x:f>
        <x:v>1299</x:v>
      </x:c>
      <x:c r="E28" s="34" t="n">
        <x:f>Master_Comparison!E24</x:f>
        <x:v>35634</x:v>
      </x:c>
      <x:c r="F28" s="36" t="n">
        <x:f>Master_Comparison!F24</x:f>
        <x:v>0.4057</x:v>
      </x:c>
      <x:c r="G28" t="str">
        <x:f>Master_Comparison!I24</x:f>
        <x:v>APC</x:v>
      </x:c>
      <x:c r="H28" s="34" t="n">
        <x:f>Master_Comparison!J24</x:f>
        <x:v>507</x:v>
      </x:c>
      <x:c r="I28" s="21" t="str">
        <x:v>Cross-validated</x:v>
      </x:c>
      <x:c r="J28" s="21" t="str">
        <x:v>Cross-validated secondary</x:v>
      </x:c>
      <x:c r="K28" s="34" t="n">
        <x:f>Master_Comparison!K24</x:f>
        <x:v>27085</x:v>
      </x:c>
      <x:c r="L28" s="34" t="n">
        <x:f>Master_Comparison!L24</x:f>
        <x:v>19660</x:v>
      </x:c>
      <x:c r="M28" s="34" t="n">
        <x:f>Master_Comparison!M24</x:f>
        <x:v>588</x:v>
      </x:c>
      <x:c r="N28" s="34" t="n">
        <x:f>Master_Comparison!N24</x:f>
        <x:v>694</x:v>
      </x:c>
      <x:c r="O28" s="34" t="n">
        <x:f>Master_Comparison!O24</x:f>
        <x:v>48027</x:v>
      </x:c>
      <x:c r="P28" s="34" t="n">
        <x:f>Master_Comparison!P24</x:f>
        <x:v>48985</x:v>
      </x:c>
      <x:c r="Q28" s="34" t="n">
        <x:f>Master_Comparison!Q24</x:f>
        <x:v>48953</x:v>
      </x:c>
      <x:c r="R28" s="34" t="n">
        <x:f>Master_Comparison!R24</x:f>
        <x:v>926</x:v>
      </x:c>
      <x:c r="S28" s="36" t="n">
        <x:f>Master_Comparison!S24</x:f>
        <x:v>0.5639536094280301</x:v>
      </x:c>
      <x:c r="T28" s="36" t="n">
        <x:f>Master_Comparison!T24</x:f>
        <x:v>0.40935307223020384</x:v>
      </x:c>
      <x:c r="U28" t="str">
        <x:f>Master_Comparison!U24</x:f>
        <x:v>Adeleke</x:v>
      </x:c>
      <x:c r="V28" s="34" t="n">
        <x:f>Master_Comparison!V24</x:f>
        <x:v>7425</x:v>
      </x:c>
      <x:c r="W28" s="54" t="str">
        <x:v>Cross-validated / state reconciled</x:v>
      </x:c>
      <x:c r="X28" s="54" t="str">
        <x:v>Cross-validated / state reconciled</x:v>
      </x:c>
      <x:c r="Y28" s="34" t="n">
        <x:f>Master_Comparison!W24</x:f>
        <x:v>10171</x:v>
      </x:c>
      <x:c r="Z28" s="34" t="n">
        <x:f>Master_Comparison!X24</x:f>
        <x:v>2239</x:v>
      </x:c>
      <x:c r="AA28" s="38" t="n">
        <x:f>Master_Comparison!Y24</x:f>
        <x:v>8.92945759207056</x:v>
      </x:c>
      <x:c r="AB28" s="38" t="n">
        <x:f>Master_Comparison!Z24</x:f>
        <x:v>-7.953394578629725</x:v>
      </x:c>
    </x:row>
    <x:row r="29">
      <x:c r="A29" t="str">
        <x:f>Master_Comparison!A25</x:f>
        <x:v>Obokun</x:v>
      </x:c>
      <x:c r="B29" s="34" t="n">
        <x:f>Master_Comparison!B25</x:f>
        <x:v>13575</x:v>
      </x:c>
      <x:c r="C29" s="34" t="n">
        <x:f>Master_Comparison!C25</x:f>
        <x:v>9727</x:v>
      </x:c>
      <x:c r="D29" s="34" t="n">
        <x:f>Master_Comparison!D25</x:f>
        <x:v>511</x:v>
      </x:c>
      <x:c r="E29" s="34" t="n">
        <x:f>Master_Comparison!E25</x:f>
        <x:v>23813</x:v>
      </x:c>
      <x:c r="F29" s="36" t="n">
        <x:f>Master_Comparison!F25</x:f>
        <x:v>0.4581</x:v>
      </x:c>
      <x:c r="G29" t="str">
        <x:f>Master_Comparison!I25</x:f>
        <x:v>Adeleke</x:v>
      </x:c>
      <x:c r="H29" s="34" t="n">
        <x:f>Master_Comparison!J25</x:f>
        <x:v>3848</x:v>
      </x:c>
      <x:c r="I29" s="21" t="str">
        <x:v>Cross-validated correction</x:v>
      </x:c>
      <x:c r="J29" s="21" t="str">
        <x:v>Cross-validated secondary</x:v>
      </x:c>
      <x:c r="K29" s="34" t="n">
        <x:f>Master_Comparison!K25</x:f>
        <x:v>12023</x:v>
      </x:c>
      <x:c r="L29" s="34" t="n">
        <x:f>Master_Comparison!L25</x:f>
        <x:v>16120</x:v>
      </x:c>
      <x:c r="M29" s="34" t="n">
        <x:f>Master_Comparison!M25</x:f>
        <x:v>205</x:v>
      </x:c>
      <x:c r="N29" s="34" t="n">
        <x:f>Master_Comparison!N25</x:f>
        <x:v>339</x:v>
      </x:c>
      <x:c r="O29" s="34" t="n">
        <x:f>Master_Comparison!O25</x:f>
        <x:v>28687</x:v>
      </x:c>
      <x:c r="P29" s="34" t="n">
        <x:f>Master_Comparison!P25</x:f>
        <x:v>29183</x:v>
      </x:c>
      <x:c r="Q29" s="34" t="n">
        <x:f>Master_Comparison!Q25</x:f>
        <x:v>29147</x:v>
      </x:c>
      <x:c r="R29" s="34" t="n">
        <x:f>Master_Comparison!R25</x:f>
        <x:v>460</x:v>
      </x:c>
      <x:c r="S29" s="36" t="n">
        <x:f>Master_Comparison!S25</x:f>
        <x:v>0.41910970125840974</x:v>
      </x:c>
      <x:c r="T29" s="36" t="n">
        <x:f>Master_Comparison!T25</x:f>
        <x:v>0.5619270052637083</x:v>
      </x:c>
      <x:c r="U29" t="str">
        <x:f>Master_Comparison!U25</x:f>
        <x:v>APC</x:v>
      </x:c>
      <x:c r="V29" s="34" t="n">
        <x:f>Master_Comparison!V25</x:f>
        <x:v>4097</x:v>
      </x:c>
      <x:c r="W29" s="54" t="str">
        <x:v>Cross-validated / state reconciled</x:v>
      </x:c>
      <x:c r="X29" s="54" t="str">
        <x:v>Cross-validated / state reconciled</x:v>
      </x:c>
      <x:c r="Y29" s="34" t="n">
        <x:f>Master_Comparison!W25</x:f>
        <x:v>-1552</x:v>
      </x:c>
      <x:c r="Z29" s="34" t="n">
        <x:f>Master_Comparison!X25</x:f>
        <x:v>6393</x:v>
      </x:c>
      <x:c r="AA29" s="38" t="n">
        <x:f>Master_Comparison!Y25</x:f>
        <x:v>-15.095706899313354</x:v>
      </x:c>
      <x:c r="AB29" s="38" t="n">
        <x:f>Master_Comparison!Z25</x:f>
        <x:v>15.345264252066881</x:v>
      </x:c>
    </x:row>
    <x:row r="30">
      <x:c r="A30" t="str">
        <x:f>Master_Comparison!A26</x:f>
        <x:v>Odo Otin</x:v>
      </x:c>
      <x:c r="B30" s="34" t="n">
        <x:f>Master_Comparison!B26</x:f>
        <x:v>14003</x:v>
      </x:c>
      <x:c r="C30" s="34" t="n">
        <x:f>Master_Comparison!C26</x:f>
        <x:v>13482</x:v>
      </x:c>
      <x:c r="D30" s="34" t="n">
        <x:f>Master_Comparison!D26</x:f>
        <x:v>700</x:v>
      </x:c>
      <x:c r="E30" s="34" t="n">
        <x:f>Master_Comparison!E26</x:f>
        <x:v>28185</x:v>
      </x:c>
      <x:c r="F30" s="36" t="n">
        <x:f>Master_Comparison!F26</x:f>
        <x:v>0.4278</x:v>
      </x:c>
      <x:c r="G30" t="str">
        <x:f>Master_Comparison!I26</x:f>
        <x:v>Adeleke</x:v>
      </x:c>
      <x:c r="H30" s="34" t="n">
        <x:f>Master_Comparison!J26</x:f>
        <x:v>521</x:v>
      </x:c>
      <x:c r="I30" s="21" t="str">
        <x:v>Cross-validated</x:v>
      </x:c>
      <x:c r="J30" s="21" t="str">
        <x:v>Cross-validated secondary</x:v>
      </x:c>
      <x:c r="K30" s="34" t="n">
        <x:f>Master_Comparison!K26</x:f>
        <x:v>18003</x:v>
      </x:c>
      <x:c r="L30" s="34" t="n">
        <x:f>Master_Comparison!L26</x:f>
        <x:v>15435</x:v>
      </x:c>
      <x:c r="M30" s="34" t="n">
        <x:f>Master_Comparison!M26</x:f>
        <x:v>377</x:v>
      </x:c>
      <x:c r="N30" s="34" t="n">
        <x:f>Master_Comparison!N26</x:f>
        <x:v>211</x:v>
      </x:c>
      <x:c r="O30" s="34" t="n">
        <x:f>Master_Comparison!O26</x:f>
        <x:v>34026</x:v>
      </x:c>
      <x:c r="P30" s="34" t="n">
        <x:f>Master_Comparison!P26</x:f>
        <x:v>34482</x:v>
      </x:c>
      <x:c r="Q30" s="34" t="n">
        <x:f>Master_Comparison!Q26</x:f>
        <x:v>34456</x:v>
      </x:c>
      <x:c r="R30" s="34" t="n">
        <x:f>Master_Comparison!R26</x:f>
        <x:v>430</x:v>
      </x:c>
      <x:c r="S30" s="36" t="n">
        <x:f>Master_Comparison!S26</x:f>
        <x:v>0.529095397637101</x:v>
      </x:c>
      <x:c r="T30" s="36" t="n">
        <x:f>Master_Comparison!T26</x:f>
        <x:v>0.4536236995238935</x:v>
      </x:c>
      <x:c r="U30" t="str">
        <x:f>Master_Comparison!U26</x:f>
        <x:v>Adeleke</x:v>
      </x:c>
      <x:c r="V30" s="34" t="n">
        <x:f>Master_Comparison!V26</x:f>
        <x:v>2568</x:v>
      </x:c>
      <x:c r="W30" s="54" t="str">
        <x:v>Cross-validated / state reconciled</x:v>
      </x:c>
      <x:c r="X30" s="54" t="str">
        <x:v>Cross-validated / state reconciled</x:v>
      </x:c>
      <x:c r="Y30" s="34" t="n">
        <x:f>Master_Comparison!W26</x:f>
        <x:v>4000</x:v>
      </x:c>
      <x:c r="Z30" s="34" t="n">
        <x:f>Master_Comparison!X26</x:f>
        <x:v>1953</x:v>
      </x:c>
      <x:c r="AA30" s="38" t="n">
        <x:f>Master_Comparison!Y26</x:f>
        <x:v>3.227084557039883</x:v>
      </x:c>
      <x:c r="AB30" s="38" t="n">
        <x:f>Master_Comparison!Z26</x:f>
        <x:v>-2.4715842785845767</x:v>
      </x:c>
    </x:row>
    <x:row r="31">
      <x:c r="A31" t="str">
        <x:f>Master_Comparison!A27</x:f>
        <x:v>Ola Oluwa</x:v>
      </x:c>
      <x:c r="B31" s="34" t="n">
        <x:f>Master_Comparison!B27</x:f>
        <x:v>7205</x:v>
      </x:c>
      <x:c r="C31" s="34" t="n">
        <x:f>Master_Comparison!C27</x:f>
        <x:v>9123</x:v>
      </x:c>
      <x:c r="D31" s="34" t="n">
        <x:f>Master_Comparison!D27</x:f>
        <x:v>409</x:v>
      </x:c>
      <x:c r="E31" s="34" t="n">
        <x:f>Master_Comparison!E27</x:f>
        <x:v>16737</x:v>
      </x:c>
      <x:c r="F31" s="36" t="n">
        <x:f>Master_Comparison!F27</x:f>
        <x:v>0.4628</x:v>
      </x:c>
      <x:c r="G31" t="str">
        <x:f>Master_Comparison!I27</x:f>
        <x:v>APC</x:v>
      </x:c>
      <x:c r="H31" s="34" t="n">
        <x:f>Master_Comparison!J27</x:f>
        <x:v>1918</x:v>
      </x:c>
      <x:c r="I31" s="21" t="str">
        <x:v>Cross-validated</x:v>
      </x:c>
      <x:c r="J31" s="21" t="str">
        <x:v>Cross-validated secondary</x:v>
      </x:c>
      <x:c r="K31" s="34" t="n">
        <x:f>Master_Comparison!K27</x:f>
        <x:v>10063</x:v>
      </x:c>
      <x:c r="L31" s="34" t="n">
        <x:f>Master_Comparison!L27</x:f>
        <x:v>10782</x:v>
      </x:c>
      <x:c r="M31" s="34" t="n">
        <x:f>Master_Comparison!M27</x:f>
        <x:v>213</x:v>
      </x:c>
      <x:c r="N31" s="34" t="n">
        <x:f>Master_Comparison!N27</x:f>
        <x:v>170</x:v>
      </x:c>
      <x:c r="O31" s="34" t="n">
        <x:f>Master_Comparison!O27</x:f>
        <x:v>21228</x:v>
      </x:c>
      <x:c r="P31" s="34" t="n">
        <x:f>Master_Comparison!P27</x:f>
        <x:v>21599</x:v>
      </x:c>
      <x:c r="Q31" s="34" t="n">
        <x:f>Master_Comparison!Q27</x:f>
        <x:v>21595</x:v>
      </x:c>
      <x:c r="R31" s="34" t="n">
        <x:f>Master_Comparison!R27</x:f>
        <x:v>367</x:v>
      </x:c>
      <x:c r="S31" s="36" t="n">
        <x:f>Master_Comparison!S27</x:f>
        <x:v>0.47404371584699456</x:v>
      </x:c>
      <x:c r="T31" s="36" t="n">
        <x:f>Master_Comparison!T27</x:f>
        <x:v>0.5079140757490107</x:v>
      </x:c>
      <x:c r="U31" t="str">
        <x:f>Master_Comparison!U27</x:f>
        <x:v>APC</x:v>
      </x:c>
      <x:c r="V31" s="34" t="n">
        <x:f>Master_Comparison!V27</x:f>
        <x:v>719</x:v>
      </x:c>
      <x:c r="W31" s="54" t="str">
        <x:v>Cross-validated / state reconciled</x:v>
      </x:c>
      <x:c r="X31" s="54" t="str">
        <x:v>Cross-validated / state reconciled</x:v>
      </x:c>
      <x:c r="Y31" s="34" t="n">
        <x:f>Master_Comparison!W27</x:f>
        <x:v>2858</x:v>
      </x:c>
      <x:c r="Z31" s="34" t="n">
        <x:f>Master_Comparison!X27</x:f>
        <x:v>1659</x:v>
      </x:c>
      <x:c r="AA31" s="38" t="n">
        <x:f>Master_Comparison!Y27</x:f>
        <x:v>4.356035562712241</x:v>
      </x:c>
      <x:c r="AB31" s="38" t="n">
        <x:f>Master_Comparison!Z27</x:f>
        <x:v>-3.716568764944783</x:v>
      </x:c>
    </x:row>
    <x:row r="32">
      <x:c r="A32" t="str">
        <x:f>Master_Comparison!A28</x:f>
        <x:v>Olorunda</x:v>
      </x:c>
      <x:c r="B32" s="34" t="n">
        <x:f>Master_Comparison!B28</x:f>
        <x:v>21350</x:v>
      </x:c>
      <x:c r="C32" s="34" t="n">
        <x:f>Master_Comparison!C28</x:f>
        <x:v>18709</x:v>
      </x:c>
      <x:c r="D32" s="34" t="n">
        <x:f>Master_Comparison!D28</x:f>
        <x:v>1128</x:v>
      </x:c>
      <x:c r="E32" s="34" t="n">
        <x:f>Master_Comparison!E28</x:f>
        <x:v>41187</x:v>
      </x:c>
      <x:c r="F32" s="36" t="n">
        <x:f>Master_Comparison!F28</x:f>
        <x:v>0.4004</x:v>
      </x:c>
      <x:c r="G32" t="str">
        <x:f>Master_Comparison!I28</x:f>
        <x:v>Adeleke</x:v>
      </x:c>
      <x:c r="H32" s="34" t="n">
        <x:f>Master_Comparison!J28</x:f>
        <x:v>2641</x:v>
      </x:c>
      <x:c r="I32" s="21" t="str">
        <x:v>Cross-validated</x:v>
      </x:c>
      <x:c r="J32" s="21" t="str">
        <x:v>Cross-validated secondary</x:v>
      </x:c>
      <x:c r="K32" s="34" t="n">
        <x:f>Master_Comparison!K28</x:f>
        <x:v>23514</x:v>
      </x:c>
      <x:c r="L32" s="34" t="n">
        <x:f>Master_Comparison!L28</x:f>
        <x:v>24671</x:v>
      </x:c>
      <x:c r="M32" s="34" t="n">
        <x:f>Master_Comparison!M28</x:f>
        <x:v>666</x:v>
      </x:c>
      <x:c r="N32" s="34" t="n">
        <x:f>Master_Comparison!N28</x:f>
        <x:v>607</x:v>
      </x:c>
      <x:c r="O32" s="34" t="n">
        <x:f>Master_Comparison!O28</x:f>
        <x:v>49458</x:v>
      </x:c>
      <x:c r="P32" s="34" t="n">
        <x:f>Master_Comparison!P28</x:f>
        <x:v>51172</x:v>
      </x:c>
      <x:c r="Q32" s="34" t="n">
        <x:f>Master_Comparison!Q28</x:f>
        <x:v>50793</x:v>
      </x:c>
      <x:c r="R32" s="34" t="n">
        <x:f>Master_Comparison!R28</x:f>
        <x:v>1335</x:v>
      </x:c>
      <x:c r="S32" s="36" t="n">
        <x:f>Master_Comparison!S28</x:f>
        <x:v>0.4754337013223341</x:v>
      </x:c>
      <x:c r="T32" s="36" t="n">
        <x:f>Master_Comparison!T28</x:f>
        <x:v>0.4988272877997493</x:v>
      </x:c>
      <x:c r="U32" t="str">
        <x:f>Master_Comparison!U28</x:f>
        <x:v>APC</x:v>
      </x:c>
      <x:c r="V32" s="34" t="n">
        <x:f>Master_Comparison!V28</x:f>
        <x:v>1157</x:v>
      </x:c>
      <x:c r="W32" s="54" t="str">
        <x:v>Cross-validated / state reconciled</x:v>
      </x:c>
      <x:c r="X32" s="54" t="str">
        <x:v>Cross-validated / state reconciled</x:v>
      </x:c>
      <x:c r="Y32" s="34" t="n">
        <x:f>Master_Comparison!W28</x:f>
        <x:v>2164</x:v>
      </x:c>
      <x:c r="Z32" s="34" t="n">
        <x:f>Master_Comparison!X28</x:f>
        <x:v>5962</x:v>
      </x:c>
      <x:c r="AA32" s="38" t="n">
        <x:f>Master_Comparison!Y28</x:f>
        <x:v>-4.293374471646461</x:v>
      </x:c>
      <x:c r="AB32" s="38" t="n">
        <x:f>Master_Comparison!Z28</x:f>
        <x:v>4.4582016233478345</x:v>
      </x:c>
    </x:row>
    <x:row r="33">
      <x:c r="A33" t="str">
        <x:f>Master_Comparison!A29</x:f>
        <x:v>Oriade</x:v>
      </x:c>
      <x:c r="B33" s="34" t="n">
        <x:f>Master_Comparison!B29</x:f>
        <x:v>15947</x:v>
      </x:c>
      <x:c r="C33" s="34" t="n">
        <x:f>Master_Comparison!C29</x:f>
        <x:v>14189</x:v>
      </x:c>
      <x:c r="D33" s="34" t="n">
        <x:f>Master_Comparison!D29</x:f>
        <x:v>805</x:v>
      </x:c>
      <x:c r="E33" s="34" t="n">
        <x:f>Master_Comparison!E29</x:f>
        <x:v>30941</x:v>
      </x:c>
      <x:c r="F33" s="36" t="n">
        <x:f>Master_Comparison!F29</x:f>
        <x:v>0.4554</x:v>
      </x:c>
      <x:c r="G33" t="str">
        <x:f>Master_Comparison!I29</x:f>
        <x:v>Adeleke</x:v>
      </x:c>
      <x:c r="H33" s="34" t="n">
        <x:f>Master_Comparison!J29</x:f>
        <x:v>1758</x:v>
      </x:c>
      <x:c r="I33" s="21" t="str">
        <x:v>Cross-validated correction</x:v>
      </x:c>
      <x:c r="J33" s="21" t="str">
        <x:v>Cross-validated secondary</x:v>
      </x:c>
      <x:c r="K33" s="34" t="n">
        <x:f>Master_Comparison!K29</x:f>
        <x:v>21343</x:v>
      </x:c>
      <x:c r="L33" s="34" t="n">
        <x:f>Master_Comparison!L29</x:f>
        <x:v>14863</x:v>
      </x:c>
      <x:c r="M33" s="34" t="n">
        <x:f>Master_Comparison!M29</x:f>
        <x:v>423</x:v>
      </x:c>
      <x:c r="N33" s="34" t="n">
        <x:f>Master_Comparison!N29</x:f>
        <x:v>444</x:v>
      </x:c>
      <x:c r="O33" s="34" t="n">
        <x:f>Master_Comparison!O29</x:f>
        <x:v>37073</x:v>
      </x:c>
      <x:c r="P33" s="34" t="n">
        <x:f>Master_Comparison!P29</x:f>
        <x:v>37962</x:v>
      </x:c>
      <x:c r="Q33" s="34" t="n">
        <x:f>Master_Comparison!Q29</x:f>
        <x:v>37933</x:v>
      </x:c>
      <x:c r="R33" s="34" t="n">
        <x:f>Master_Comparison!R29</x:f>
        <x:v>860</x:v>
      </x:c>
      <x:c r="S33" s="36" t="n">
        <x:f>Master_Comparison!S29</x:f>
        <x:v>0.5757019933644432</x:v>
      </x:c>
      <x:c r="T33" s="36" t="n">
        <x:f>Master_Comparison!T29</x:f>
        <x:v>0.40091171472500203</x:v>
      </x:c>
      <x:c r="U33" t="str">
        <x:f>Master_Comparison!U29</x:f>
        <x:v>Adeleke</x:v>
      </x:c>
      <x:c r="V33" s="34" t="n">
        <x:f>Master_Comparison!V29</x:f>
        <x:v>6480</x:v>
      </x:c>
      <x:c r="W33" s="54" t="str">
        <x:v>Cross-validated / state reconciled</x:v>
      </x:c>
      <x:c r="X33" s="54" t="str">
        <x:v>Cross-validated / state reconciled</x:v>
      </x:c>
      <x:c r="Y33" s="34" t="n">
        <x:f>Master_Comparison!W29</x:f>
        <x:v>5396</x:v>
      </x:c>
      <x:c r="Z33" s="34" t="n">
        <x:f>Master_Comparison!X29</x:f>
        <x:v>674</x:v>
      </x:c>
      <x:c r="AA33" s="38" t="n">
        <x:f>Master_Comparison!Y29</x:f>
        <x:v>6.030171541608986</x:v>
      </x:c>
      <x:c r="AB33" s="38" t="n">
        <x:f>Master_Comparison!Z29</x:f>
        <x:v>-5.767074867307819</x:v>
      </x:c>
    </x:row>
    <x:row r="34">
      <x:c r="A34" t="str">
        <x:f>Master_Comparison!A30</x:f>
        <x:v>Orolu</x:v>
      </x:c>
      <x:c r="B34" s="34" t="n">
        <x:f>Master_Comparison!B30</x:f>
        <x:v>10282</x:v>
      </x:c>
      <x:c r="C34" s="34" t="n">
        <x:f>Master_Comparison!C30</x:f>
        <x:v>9928</x:v>
      </x:c>
      <x:c r="D34" s="34" t="n">
        <x:f>Master_Comparison!D30</x:f>
        <x:v>555</x:v>
      </x:c>
      <x:c r="E34" s="34" t="n">
        <x:f>Master_Comparison!E30</x:f>
        <x:v>20765</x:v>
      </x:c>
      <x:c r="F34" s="36" t="n">
        <x:f>Master_Comparison!F30</x:f>
        <x:v>0.5341</x:v>
      </x:c>
      <x:c r="G34" t="str">
        <x:f>Master_Comparison!I30</x:f>
        <x:v>Adeleke</x:v>
      </x:c>
      <x:c r="H34" s="34" t="n">
        <x:f>Master_Comparison!J30</x:f>
        <x:v>354</x:v>
      </x:c>
      <x:c r="I34" s="21" t="str">
        <x:v>Cross-validated</x:v>
      </x:c>
      <x:c r="J34" s="21" t="str">
        <x:v>Cross-validated secondary</x:v>
      </x:c>
      <x:c r="K34" s="34" t="n">
        <x:f>Master_Comparison!K30</x:f>
        <x:v>12352</x:v>
      </x:c>
      <x:c r="L34" s="34" t="n">
        <x:f>Master_Comparison!L30</x:f>
        <x:v>10622</x:v>
      </x:c>
      <x:c r="M34" s="34" t="n">
        <x:f>Master_Comparison!M30</x:f>
        <x:v>236</x:v>
      </x:c>
      <x:c r="N34" s="34" t="n">
        <x:f>Master_Comparison!N30</x:f>
        <x:v>228</x:v>
      </x:c>
      <x:c r="O34" s="34" t="n">
        <x:f>Master_Comparison!O30</x:f>
        <x:v>23438</x:v>
      </x:c>
      <x:c r="P34" s="34" t="n">
        <x:f>Master_Comparison!P30</x:f>
        <x:v>25423</x:v>
      </x:c>
      <x:c r="Q34" s="34" t="n">
        <x:f>Master_Comparison!Q30</x:f>
        <x:v>23890</x:v>
      </x:c>
      <x:c r="R34" s="34" t="n">
        <x:f>Master_Comparison!R30</x:f>
        <x:v>452</x:v>
      </x:c>
      <x:c r="S34" s="36" t="n">
        <x:f>Master_Comparison!S30</x:f>
        <x:v>0.5270074238416247</x:v>
      </x:c>
      <x:c r="T34" s="36" t="n">
        <x:f>Master_Comparison!T30</x:f>
        <x:v>0.4531956651591433</x:v>
      </x:c>
      <x:c r="U34" t="str">
        <x:f>Master_Comparison!U30</x:f>
        <x:v>Adeleke</x:v>
      </x:c>
      <x:c r="V34" s="34" t="n">
        <x:f>Master_Comparison!V30</x:f>
        <x:v>1730</x:v>
      </x:c>
      <x:c r="W34" s="54" t="str">
        <x:v>Cross-validated / state reconciled</x:v>
      </x:c>
      <x:c r="X34" s="54" t="str">
        <x:v>Cross-validated correction</x:v>
      </x:c>
      <x:c r="Y34" s="34" t="n">
        <x:f>Master_Comparison!W30</x:f>
        <x:v>2070</x:v>
      </x:c>
      <x:c r="Z34" s="34" t="n">
        <x:f>Master_Comparison!X30</x:f>
        <x:v>694</x:v>
      </x:c>
      <x:c r="AA34" s="38" t="n">
        <x:f>Master_Comparison!Y30</x:f>
        <x:v>3.1847298630933607</x:v>
      </x:c>
      <x:c r="AB34" s="38" t="n">
        <x:f>Master_Comparison!Z30</x:f>
        <x:v>-2.491654288323575</x:v>
      </x:c>
    </x:row>
    <x:row r="35">
      <x:c r="A35" t="str">
        <x:f>Master_Comparison!A31</x:f>
        <x:v>Osogbo</x:v>
      </x:c>
      <x:c r="B35" s="34" t="n">
        <x:f>Master_Comparison!B31</x:f>
        <x:v>30401</x:v>
      </x:c>
      <x:c r="C35" s="34" t="n">
        <x:f>Master_Comparison!C31</x:f>
        <x:v>22952</x:v>
      </x:c>
      <x:c r="D35" s="34" t="n">
        <x:f>Master_Comparison!D31</x:f>
        <x:v>1644</x:v>
      </x:c>
      <x:c r="E35" s="34" t="n">
        <x:f>Master_Comparison!E31</x:f>
        <x:v>54997</x:v>
      </x:c>
      <x:c r="F35" s="36" t="n">
        <x:f>Master_Comparison!F31</x:f>
        <x:v>0.3927</x:v>
      </x:c>
      <x:c r="G35" t="str">
        <x:f>Master_Comparison!I31</x:f>
        <x:v>Adeleke</x:v>
      </x:c>
      <x:c r="H35" s="34" t="n">
        <x:f>Master_Comparison!J31</x:f>
        <x:v>7449</x:v>
      </x:c>
      <x:c r="I35" s="21" t="str">
        <x:v>Cross-validated</x:v>
      </x:c>
      <x:c r="J35" s="21" t="str">
        <x:v>Cross-validated secondary</x:v>
      </x:c>
      <x:c r="K35" s="34" t="n">
        <x:f>Master_Comparison!K31</x:f>
        <x:v>36480</x:v>
      </x:c>
      <x:c r="L35" s="34" t="n">
        <x:f>Master_Comparison!L31</x:f>
        <x:v>30474</x:v>
      </x:c>
      <x:c r="M35" s="34" t="n">
        <x:f>Master_Comparison!M31</x:f>
        <x:v>1503</x:v>
      </x:c>
      <x:c r="N35" s="34" t="n">
        <x:f>Master_Comparison!N31</x:f>
        <x:v>850</x:v>
      </x:c>
      <x:c r="O35" s="34" t="n">
        <x:f>Master_Comparison!O31</x:f>
        <x:v>69307</x:v>
      </x:c>
      <x:c r="P35" s="34" t="n">
        <x:f>Master_Comparison!P31</x:f>
        <x:v>70840</x:v>
      </x:c>
      <x:c r="Q35" s="34" t="n">
        <x:f>Master_Comparison!Q31</x:f>
        <x:v>70785</x:v>
      </x:c>
      <x:c r="R35" s="34" t="n">
        <x:f>Master_Comparison!R31</x:f>
        <x:v>1478</x:v>
      </x:c>
      <x:c r="S35" s="36" t="n">
        <x:f>Master_Comparison!S31</x:f>
        <x:v>0.5263537593605263</x:v>
      </x:c>
      <x:c r="T35" s="36" t="n">
        <x:f>Master_Comparison!T31</x:f>
        <x:v>0.4396958460184397</x:v>
      </x:c>
      <x:c r="U35" t="str">
        <x:f>Master_Comparison!U31</x:f>
        <x:v>Adeleke</x:v>
      </x:c>
      <x:c r="V35" s="34" t="n">
        <x:f>Master_Comparison!V31</x:f>
        <x:v>6006</x:v>
      </x:c>
      <x:c r="W35" s="54" t="str">
        <x:v>Cross-validated / state reconciled</x:v>
      </x:c>
      <x:c r="X35" s="54" t="str">
        <x:v>Cross-validated / state reconciled</x:v>
      </x:c>
      <x:c r="Y35" s="34" t="n">
        <x:f>Master_Comparison!W31</x:f>
        <x:v>6079</x:v>
      </x:c>
      <x:c r="Z35" s="34" t="n">
        <x:f>Master_Comparison!X31</x:f>
        <x:v>7522</x:v>
      </x:c>
      <x:c r="AA35" s="38" t="n">
        <x:f>Master_Comparison!Y31</x:f>
        <x:v>-2.642184658161595</x:v>
      </x:c>
      <x:c r="AB35" s="38" t="n">
        <x:f>Master_Comparison!Z31</x:f>
        <x:v>2.2363991553650706</x:v>
      </x:c>
    </x:row>
  </x:sheetData>
  <x:mergeCells>
    <x:mergeCell ref="A1:AB1"/>
    <x:mergeCell ref="A2:AB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3" hidden="0" customWidth="1"/>
    <x:col min="4" max="4" width="18" hidden="0" customWidth="1"/>
    <x:col min="5" max="5" width="18" hidden="0" customWidth="1"/>
    <x:col min="6" max="6" width="58" hidden="0" customWidth="1"/>
    <x:col min="7" max="7" width="28" hidden="0" customWidth="1"/>
    <x:col min="8" max="8" width="72" hidden="0" customWidth="1"/>
  </x:cols>
  <x:sheetData>
    <x:row r="1">
      <x:c r="A1" s="47" t="str">
        <x:v>Source Conflict &amp; Correction Ledger</x:v>
      </x:c>
      <x:c r="B1" s="47"/>
      <x:c r="C1" s="47"/>
      <x:c r="D1" s="47"/>
      <x:c r="E1" s="47"/>
      <x:c r="F1" s="47"/>
      <x:c r="G1" s="47"/>
      <x:c r="H1" s="47"/>
    </x:row>
    <x:row r="2">
      <x:c r="A2" s="44" t="str">
        <x:v>Every disagreement is retained here. A selected value is not labelled 'official' merely because it reconciles. Where the original INEC collation/result sheet has not yet been directly inspected, the status remains cross-validated or provisional.</x:v>
      </x:c>
      <x:c r="B2" s="44"/>
      <x:c r="C2" s="44"/>
      <x:c r="D2" s="44"/>
      <x:c r="E2" s="44"/>
      <x:c r="F2" s="44"/>
      <x:c r="G2" s="44"/>
      <x:c r="H2" s="44"/>
    </x:row>
    <x:row r="3">
      <x:c r="A3" s="44"/>
      <x:c r="B3" s="44"/>
      <x:c r="C3" s="44"/>
      <x:c r="D3" s="44"/>
      <x:c r="E3" s="44"/>
      <x:c r="F3" s="44"/>
      <x:c r="G3" s="44"/>
      <x:c r="H3" s="44"/>
    </x:row>
    <x:row r="5">
      <x:c r="A5" s="53" t="str">
        <x:v>Year</x:v>
      </x:c>
      <x:c r="B5" s="53" t="str">
        <x:v>LGA / Scope</x:v>
      </x:c>
      <x:c r="C5" s="53" t="str">
        <x:v>Field</x:v>
      </x:c>
      <x:c r="D5" s="53" t="str">
        <x:v>Value Selected</x:v>
      </x:c>
      <x:c r="E5" s="53" t="str">
        <x:v>Conflicting Value</x:v>
      </x:c>
      <x:c r="F5" s="53" t="str">
        <x:v>Decision / Evidence</x:v>
      </x:c>
      <x:c r="G5" s="53" t="str">
        <x:v>Status</x:v>
      </x:c>
      <x:c r="H5" s="53" t="str">
        <x:v>Sources</x:v>
      </x:c>
    </x:row>
    <x:row r="6">
      <x:c r="A6" t="n">
        <x:v>2026</x:v>
      </x:c>
      <x:c r="B6" t="str">
        <x:v>Ifedayo</x:v>
      </x:c>
      <x:c r="C6" t="str">
        <x:v>Total valid votes</x:v>
      </x:c>
      <x:c r="D6" s="34" t="n">
        <x:v>14449</x:v>
      </x:c>
      <x:c r="E6" s="34" t="n">
        <x:v>1449</x:v>
      </x:c>
      <x:c r="F6" s="21" t="str">
        <x:v>Punch carried 1,449. Channels detailed collation shows 14,449 and the party totals support 14,449.</x:v>
      </x:c>
      <x:c r="G6" s="21" t="str">
        <x:v>RESOLVED — cross-validated</x:v>
      </x:c>
      <x:c r="H6" s="21" t="str">
        <x:v>Channels: https://www.channelstv.com/election/live-updates-osun-2026-election/ | Punch: https://punchng.com/breaking-adeleke-wins-19-lgs-apcs-oyebamiji-secures-11-lgs/</x:v>
      </x:c>
    </x:row>
    <x:row r="7">
      <x:c r="A7" t="n">
        <x:v>2026</x:v>
      </x:c>
      <x:c r="B7" t="str">
        <x:v>Orolu</x:v>
      </x:c>
      <x:c r="C7" t="str">
        <x:v>Accredited voters</x:v>
      </x:c>
      <x:c r="D7" s="34" t="n">
        <x:v>25423</x:v>
      </x:c>
      <x:c r="E7" s="34" t="n">
        <x:v>25424</x:v>
      </x:c>
      <x:c r="F7" s="21" t="str">
        <x:v>Channels reports 25,423. Selecting it makes the 30-LGA accredited total equal the declared statewide 1,010,684.</x:v>
      </x:c>
      <x:c r="G7" s="21" t="str">
        <x:v>RESOLVED — cross-validated</x:v>
      </x:c>
      <x:c r="H7" s="21" t="str">
        <x:v>Channels: https://www.channelstv.com/election/live-updates-osun-2026-election/ | Punch: https://punchng.com/breaking-adeleke-wins-19-lgs-apcs-oyebamiji-secures-11-lgs/</x:v>
      </x:c>
    </x:row>
    <x:row r="8">
      <x:c r="A8" t="n">
        <x:v>2026</x:v>
      </x:c>
      <x:c r="B8" t="str">
        <x:v>Isokan</x:v>
      </x:c>
      <x:c r="C8" t="str">
        <x:v>Total valid votes</x:v>
      </x:c>
      <x:c r="D8" s="34" t="n">
        <x:v>28716</x:v>
      </x:c>
      <x:c r="E8" s="34" t="n">
        <x:v>28715</x:v>
      </x:c>
      <x:c r="F8" s="21" t="str">
        <x:v>Channels reports 28,716; its 15 party votes sum to 28,716. 28,716 + 689 rejected = 29,405 cast. The correction also reconciles the statewide valid-vote total.</x:v>
      </x:c>
      <x:c r="G8" s="21" t="str">
        <x:v>RESOLVED — cross-validated</x:v>
      </x:c>
      <x:c r="H8" s="21" t="str">
        <x:v>Channels: https://www.channelstv.com/election/live-updates-osun-2026-election/ | Punch: https://punchng.com/breaking-adeleke-wins-19-lgs-apcs-oyebamiji-secures-11-lgs/</x:v>
      </x:c>
    </x:row>
    <x:row r="9">
      <x:c r="A9" t="n">
        <x:v>2026</x:v>
      </x:c>
      <x:c r="B9" t="str">
        <x:v>Irewole</x:v>
      </x:c>
      <x:c r="C9" t="str">
        <x:v>Valid / votes cast</x:v>
      </x:c>
      <x:c r="D9" s="34" t="str">
        <x:v>41,575 / 42,824</x:v>
      </x:c>
      <x:c r="E9" s="34" t="str">
        <x:v>41,475 / 42,724</x:v>
      </x:c>
      <x:c r="F9" s="21" t="str">
        <x:v>Channels live text conflicts with its own party list. The 15 listed party votes sum to 41,575; adding 1,249 rejected gives 42,824. Punch agrees with 41,575 / 42,824.</x:v>
      </x:c>
      <x:c r="G9" s="21" t="str">
        <x:v>RESOLVED — arithmetic + cross-source</x:v>
      </x:c>
      <x:c r="H9" s="21" t="str">
        <x:v>Channels: https://www.channelstv.com/election/live-updates-osun-2026-election/ | Legit: https://www.legit.ng/politics/1725368-osun-election-2026-official-lga-results-inec-live-updates/</x:v>
      </x:c>
    </x:row>
    <x:row r="10">
      <x:c r="A10" t="n">
        <x:v>2026</x:v>
      </x:c>
      <x:c r="B10" t="str">
        <x:v>Atakunmosa East</x:v>
      </x:c>
      <x:c r="C10" t="str">
        <x:v>Accredited voters</x:v>
      </x:c>
      <x:c r="D10" s="34" t="n">
        <x:v>19253</x:v>
      </x:c>
      <x:c r="E10" s="34" t="n">
        <x:v>19257</x:v>
      </x:c>
      <x:c r="F10" s="21" t="str">
        <x:v>Punch reports 19,253; Channels text reports 19,257. 19,253 is retained because the statewide accredited total reconciles exactly after the Orolu correction. This remains an open primary-sheet check.</x:v>
      </x:c>
      <x:c r="G10" s="21" t="str">
        <x:v>OPEN — primary source required</x:v>
      </x:c>
      <x:c r="H10" s="21" t="str">
        <x:v>Channels: https://www.channelstv.com/election/live-updates-osun-2026-election/ | Punch: https://punchng.com/breaking-adeleke-wins-19-lgs-apcs-oyebamiji-secures-11-lgs/</x:v>
      </x:c>
    </x:row>
    <x:row r="11">
      <x:c r="A11" t="n">
        <x:v>2022</x:v>
      </x:c>
      <x:c r="B11" t="str">
        <x:v>Oriade</x:v>
      </x:c>
      <x:c r="C11" t="str">
        <x:v>Adeleke/PDP votes</x:v>
      </x:c>
      <x:c r="D11" s="34" t="n">
        <x:v>15947</x:v>
      </x:c>
      <x:c r="E11" s="34" t="n">
        <x:v>15940</x:v>
      </x:c>
      <x:c r="F11" s="21" t="str">
        <x:v>Some live tables carried 15,940; the hardened dataset retains 15,947 because it is supported by alternate collation reporting and is required for the declared statewide PDP total of 403,371.</x:v>
      </x:c>
      <x:c r="G11" s="21" t="str">
        <x:v>RESOLVED — cross-validated</x:v>
      </x:c>
      <x:c r="H11" s="21" t="str">
        <x:v>TVC: https://www.tvcnews.tv/live-updates-collation-of-osun-governorship-election-results/ | Punch: https://punchng.com/osun-results-of-30-lgs-declared-by-inec/</x:v>
      </x:c>
    </x:row>
    <x:row r="12">
      <x:c r="A12" t="n">
        <x:v>2022</x:v>
      </x:c>
      <x:c r="B12" t="str">
        <x:v>Obokun</x:v>
      </x:c>
      <x:c r="C12" t="str">
        <x:v>Total valid votes</x:v>
      </x:c>
      <x:c r="D12" s="34" t="n">
        <x:v>23813</x:v>
      </x:c>
      <x:c r="E12" s="34" t="n">
        <x:v>24399</x:v>
      </x:c>
      <x:c r="F12" s="21" t="str">
        <x:v>23,813 is the valid-vote total; 24,399 is total votes cast. The distinction is explicit in contemporaneous collation reporting.</x:v>
      </x:c>
      <x:c r="G12" s="21" t="str">
        <x:v>RESOLVED — field-label correction</x:v>
      </x:c>
      <x:c r="H12" s="21" t="str">
        <x:v>The Nation: https://thenationonlineng.net/live-updates-osun-decides-2022/ | INEC IReV: https://www.inecelectionresults.ng/elections/62d1c3bb2cc4ff0df57802d1?type=gov</x:v>
      </x:c>
    </x:row>
    <x:row r="13">
      <x:c r="A13" t="n">
        <x:v>2026</x:v>
      </x:c>
      <x:c r="B13" t="str">
        <x:v>Statewide</x:v>
      </x:c>
      <x:c r="C13" t="str">
        <x:v>Registered voters</x:v>
      </x:c>
      <x:c r="D13" s="34" t="n">
        <x:v>2339544</x:v>
      </x:c>
      <x:c r="E13" s="34" t="n">
        <x:v>2339233</x:v>
      </x:c>
      <x:c r="F13" s="21" t="str">
        <x:v>Final state collation reporting gives 2,339,544, while a pre-election INEC-based report published 2,339,233. Do not use this field for LGA turnout analysis until the underlying register/EC8D source is resolved.</x:v>
      </x:c>
      <x:c r="G13" s="21" t="str">
        <x:v>OPEN — source-version discrepancy</x:v>
      </x:c>
      <x:c r="H13" s="21" t="str">
        <x:v>Final collation: https://www.premiumtimesng.com/news/top-news/903305-updated-osundecides2026-inec-declares-accords-ademola-adeleke-winner-of-governorship-election.html | Pre-election register report: https://www.premiumtimesng.com/features-and-interviews/902792-analysis-osuns-1-9-million-voters-and-the-lgas-that-may-decide-the-election.html</x:v>
      </x:c>
    </x:row>
  </x:sheetData>
  <x:mergeCells>
    <x:mergeCell ref="A1:H1"/>
    <x:mergeCell ref="A2:H3"/>
  </x:mergeCells>
  <x:conditionalFormatting sqref="G6:G13">
    <x:cfRule type="expression" dxfId="1" priority="1">
      <x:formula>LEFT(G6,4)="OPEN"</x:formula>
    </x:cfRule>
    <x:cfRule type="expression" dxfId="2" priority="2">
      <x:formula>LEFT(G6,8)="RESOLVED"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36" hidden="0" customWidth="1"/>
    <x:col min="4" max="4" width="18" hidden="0" customWidth="1"/>
    <x:col min="5" max="5" width="32" hidden="0" customWidth="1"/>
    <x:col min="6" max="6" width="54" hidden="0" customWidth="1"/>
  </x:cols>
  <x:sheetData>
    <x:row r="1">
      <x:c r="A1" s="47" t="str">
        <x:v>Data Dictionary &amp; Analytical Definitions</x:v>
      </x:c>
      <x:c r="B1" s="47"/>
      <x:c r="C1" s="47"/>
      <x:c r="D1" s="47"/>
      <x:c r="E1" s="47"/>
      <x:c r="F1" s="47"/>
    </x:row>
    <x:row r="3">
      <x:c r="A3" s="53" t="str">
        <x:v>Field</x:v>
      </x:c>
      <x:c r="B3" s="53" t="str">
        <x:v>Definition</x:v>
      </x:c>
      <x:c r="C3" s="53" t="str">
        <x:v>Formula / Basis</x:v>
      </x:c>
      <x:c r="D3" s="53" t="str">
        <x:v>Unit</x:v>
      </x:c>
      <x:c r="E3" s="53" t="str">
        <x:v>Use in analysis</x:v>
      </x:c>
      <x:c r="F3" s="53" t="str">
        <x:v>Caution</x:v>
      </x:c>
    </x:row>
    <x:row r="4">
      <x:c r="A4" s="21" t="str">
        <x:v>Ballot Turnout %</x:v>
      </x:c>
      <x:c r="B4" s="21" t="str">
        <x:v>Share of registered voters whose ballots were cast.</x:v>
      </x:c>
      <x:c r="C4" s="21" t="str">
        <x:v>Total votes cast / registered voters</x:v>
      </x:c>
      <x:c r="D4" s="21" t="str">
        <x:v>%</x:v>
      </x:c>
      <x:c r="E4" s="21" t="str">
        <x:v>Participation analysis</x:v>
      </x:c>
      <x:c r="F4" s="21" t="str">
        <x:v>Do not confuse with accreditation rate.</x:v>
      </x:c>
    </x:row>
    <x:row r="5">
      <x:c r="A5" s="21" t="str">
        <x:v>Candidate Vote Share</x:v>
      </x:c>
      <x:c r="B5" s="21" t="str">
        <x:v>Candidate votes as a share of valid votes in the LGA.</x:v>
      </x:c>
      <x:c r="C5" s="21" t="str">
        <x:v>Candidate votes / valid votes</x:v>
      </x:c>
      <x:c r="D5" s="21" t="str">
        <x:v>%</x:v>
      </x:c>
      <x:c r="E5" s="21" t="str">
        <x:v>Strongholds, swing</x:v>
      </x:c>
      <x:c r="F5" s="21" t="str">
        <x:v>Use valid votes as denominator.</x:v>
      </x:c>
    </x:row>
    <x:row r="6">
      <x:c r="A6" s="21" t="str">
        <x:v>Winning Margin</x:v>
      </x:c>
      <x:c r="B6" s="21" t="str">
        <x:v>Absolute difference between Adeleke and APC votes.</x:v>
      </x:c>
      <x:c r="C6" s="21" t="str">
        <x:v>ABS(Adeleke - APC)</x:v>
      </x:c>
      <x:c r="D6" s="21" t="str">
        <x:v>votes</x:v>
      </x:c>
      <x:c r="E6" s="21" t="str">
        <x:v>Competitiveness</x:v>
      </x:c>
      <x:c r="F6" s="21" t="str">
        <x:v>Does not measure turnout.</x:v>
      </x:c>
    </x:row>
    <x:row r="7">
      <x:c r="A7" s="21" t="str">
        <x:v>Rejected Votes</x:v>
      </x:c>
      <x:c r="B7" s="21" t="str">
        <x:v>Votes cast that were not counted as valid.</x:v>
      </x:c>
      <x:c r="C7" s="21" t="str">
        <x:v>Votes cast - valid votes</x:v>
      </x:c>
      <x:c r="D7" s="21" t="str">
        <x:v>votes</x:v>
      </x:c>
      <x:c r="E7" s="21" t="str">
        <x:v>Ballot quality / participation</x:v>
      </x:c>
      <x:c r="F7" s="21" t="str">
        <x:v>Derived unless explicitly reported.</x:v>
      </x:c>
    </x:row>
    <x:row r="8">
      <x:c r="A8" s="21" t="str">
        <x:v>Adeleke Vote Change</x:v>
      </x:c>
      <x:c r="B8" s="21" t="str">
        <x:v>Change in Adeleke's raw votes from 2022 to 2026.</x:v>
      </x:c>
      <x:c r="C8" s="21" t="str">
        <x:v>2026 Adeleke - 2022 Adeleke</x:v>
      </x:c>
      <x:c r="D8" s="21" t="str">
        <x:v>votes</x:v>
      </x:c>
      <x:c r="E8" s="21" t="str">
        <x:v>Candidate-support change</x:v>
      </x:c>
      <x:c r="F8" s="21" t="str">
        <x:v>Adeleke changed party from PDP to Accord.</x:v>
      </x:c>
    </x:row>
    <x:row r="9">
      <x:c r="A9" s="21" t="str">
        <x:v>Adeleke Share Change (pp)</x:v>
      </x:c>
      <x:c r="B9" s="21" t="str">
        <x:v>Change in Adeleke's share of valid votes.</x:v>
      </x:c>
      <x:c r="C9" s="21" t="str">
        <x:v>(2026 share - 2022 share) × 100</x:v>
      </x:c>
      <x:c r="D9" s="21" t="str">
        <x:v>percentage points</x:v>
      </x:c>
      <x:c r="E9" s="21" t="str">
        <x:v>Electoral geography</x:v>
      </x:c>
      <x:c r="F9" s="21" t="str">
        <x:v>Candidate change, not pure party swing.</x:v>
      </x:c>
    </x:row>
    <x:row r="10">
      <x:c r="A10" s="21" t="str">
        <x:v>APC Share Change (pp)</x:v>
      </x:c>
      <x:c r="B10" s="21" t="str">
        <x:v>Change in APC share between elections.</x:v>
      </x:c>
      <x:c r="C10" s="21" t="str">
        <x:v>(2026 APC share - 2022 APC share) × 100</x:v>
      </x:c>
      <x:c r="D10" s="21" t="str">
        <x:v>percentage points</x:v>
      </x:c>
      <x:c r="E10" s="21" t="str">
        <x:v>Party-performance change</x:v>
      </x:c>
      <x:c r="F10" s="21" t="str">
        <x:v>Different APC candidates in 2022 and 2026.</x:v>
      </x:c>
    </x:row>
    <x:row r="11">
      <x:c r="A11" s="21" t="str">
        <x:v>Cross-validated</x:v>
      </x:c>
      <x:c r="B11" s="21" t="str">
        <x:v>Value supported by multiple credible sources and/or statewide arithmetic reconciliation.</x:v>
      </x:c>
      <x:c r="C11" s="21" t="str">
        <x:v>Audit classification</x:v>
      </x:c>
      <x:c r="D11" s="21" t="str">
        <x:v>status</x:v>
      </x:c>
      <x:c r="E11" s="21" t="str">
        <x:v>Source quality</x:v>
      </x:c>
      <x:c r="F11" s="21" t="str">
        <x:v>Not equivalent to direct inspection of an original INEC EC8C/EC8D scan.</x:v>
      </x:c>
    </x:row>
    <x:row r="12">
      <x:c r="A12" s="21" t="str">
        <x:v>Provisional cell</x:v>
      </x:c>
      <x:c r="B12" s="21" t="str">
        <x:v>A value retained for analysis while a material source disagreement remains unresolved.</x:v>
      </x:c>
      <x:c r="C12" s="21" t="str">
        <x:v>Audit classification</x:v>
      </x:c>
      <x:c r="D12" s="21" t="str">
        <x:v>status</x:v>
      </x:c>
      <x:c r="E12" s="21" t="str">
        <x:v>Risk control</x:v>
      </x:c>
      <x:c r="F12" s="21" t="str">
        <x:v>Exclude from claims that depend specifically on that field.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4" hidden="0" customWidth="1"/>
    <x:col min="3" max="3" width="13" hidden="0" customWidth="1"/>
    <x:col min="4" max="4" width="52" hidden="0" customWidth="1"/>
    <x:col min="5" max="5" width="46" hidden="0" customWidth="1"/>
    <x:col min="6" max="6" width="36" hidden="0" customWidth="1"/>
  </x:cols>
  <x:sheetData>
    <x:row r="1">
      <x:c r="A1" s="47" t="str">
        <x:v>Publication Readiness Gate</x:v>
      </x:c>
      <x:c r="B1" s="47"/>
      <x:c r="C1" s="47"/>
      <x:c r="D1" s="47"/>
      <x:c r="E1" s="47"/>
      <x:c r="F1" s="47"/>
    </x:row>
    <x:row r="2">
      <x:c r="A2" s="44" t="str">
        <x:v>This gate separates what can be analysed now from what should not yet be presented as primary-source-verified.</x:v>
      </x:c>
      <x:c r="B2" s="44"/>
      <x:c r="C2" s="44"/>
      <x:c r="D2" s="44"/>
      <x:c r="E2" s="44"/>
      <x:c r="F2" s="44"/>
    </x:row>
    <x:row r="3">
      <x:c r="A3" s="44"/>
      <x:c r="B3" s="44"/>
      <x:c r="C3" s="44"/>
      <x:c r="D3" s="44"/>
      <x:c r="E3" s="44"/>
      <x:c r="F3" s="44"/>
    </x:row>
    <x:row r="5">
      <x:c r="A5" s="53" t="str">
        <x:v>Check</x:v>
      </x:c>
      <x:c r="B5" s="53" t="str">
        <x:v>Result</x:v>
      </x:c>
      <x:c r="C5" s="53" t="str">
        <x:v>Status</x:v>
      </x:c>
      <x:c r="D5" s="53" t="str">
        <x:v>What it means</x:v>
      </x:c>
      <x:c r="E5" s="53" t="str">
        <x:v>Required action</x:v>
      </x:c>
      <x:c r="F5" s="53" t="str">
        <x:v>Publication use</x:v>
      </x:c>
    </x:row>
    <x:row r="6">
      <x:c r="A6" s="21" t="str">
        <x:v>30 LGAs present in both years</x:v>
      </x:c>
      <x:c r="B6" s="21" t="str">
        <x:v>30 / 30</x:v>
      </x:c>
      <x:c r="C6" s="21" t="str">
        <x:v>PASS</x:v>
      </x:c>
      <x:c r="D6" s="21" t="str">
        <x:v>Comparison coverage is complete.</x:v>
      </x:c>
      <x:c r="E6" s="21" t="str">
        <x:v>None</x:v>
      </x:c>
      <x:c r="F6" s="21" t="str">
        <x:v>Safe</x:v>
      </x:c>
    </x:row>
    <x:row r="7">
      <x:c r="A7" s="21" t="str">
        <x:v>2022 Adeleke statewide reconciliation</x:v>
      </x:c>
      <x:c r="B7" s="21" t="str">
        <x:v>403,371</x:v>
      </x:c>
      <x:c r="C7" s="21" t="str">
        <x:v>PASS</x:v>
      </x:c>
      <x:c r="D7" s="21" t="str">
        <x:v>LGA values reproduce declared total.</x:v>
      </x:c>
      <x:c r="E7" s="21" t="str">
        <x:v>Keep source ledger</x:v>
      </x:c>
      <x:c r="F7" s="21" t="str">
        <x:v>Safe</x:v>
      </x:c>
    </x:row>
    <x:row r="8">
      <x:c r="A8" s="21" t="str">
        <x:v>2022 APC statewide reconciliation</x:v>
      </x:c>
      <x:c r="B8" s="21" t="str">
        <x:v>375,027</x:v>
      </x:c>
      <x:c r="C8" s="21" t="str">
        <x:v>PASS</x:v>
      </x:c>
      <x:c r="D8" s="21" t="str">
        <x:v>LGA values reproduce declared total.</x:v>
      </x:c>
      <x:c r="E8" s="21" t="str">
        <x:v>Keep source ledger</x:v>
      </x:c>
      <x:c r="F8" s="21" t="str">
        <x:v>Safe</x:v>
      </x:c>
    </x:row>
    <x:row r="9">
      <x:c r="A9" s="21" t="str">
        <x:v>2022 valid-vote reconciliation</x:v>
      </x:c>
      <x:c r="B9" s="21" t="str">
        <x:v>804,450</x:v>
      </x:c>
      <x:c r="C9" s="21" t="str">
        <x:v>PASS</x:v>
      </x:c>
      <x:c r="D9" s="21" t="str">
        <x:v>LGA valid votes reproduce statewide total.</x:v>
      </x:c>
      <x:c r="E9" s="21" t="str">
        <x:v>Keep Obokun note</x:v>
      </x:c>
      <x:c r="F9" s="21" t="str">
        <x:v>Safe</x:v>
      </x:c>
    </x:row>
    <x:row r="10">
      <x:c r="A10" s="21" t="str">
        <x:v>2026 Adeleke statewide reconciliation</x:v>
      </x:c>
      <x:c r="B10" s="21" t="str">
        <x:v>511,067</x:v>
      </x:c>
      <x:c r="C10" s="21" t="str">
        <x:v>PASS</x:v>
      </x:c>
      <x:c r="D10" s="21" t="str">
        <x:v>LGA values reproduce declared total.</x:v>
      </x:c>
      <x:c r="E10" s="21" t="str">
        <x:v>None</x:v>
      </x:c>
      <x:c r="F10" s="21" t="str">
        <x:v>Safe</x:v>
      </x:c>
    </x:row>
    <x:row r="11">
      <x:c r="A11" s="21" t="str">
        <x:v>2026 APC statewide reconciliation</x:v>
      </x:c>
      <x:c r="B11" s="21" t="str">
        <x:v>444,815</x:v>
      </x:c>
      <x:c r="C11" s="21" t="str">
        <x:v>PASS</x:v>
      </x:c>
      <x:c r="D11" s="21" t="str">
        <x:v>LGA values reproduce declared total.</x:v>
      </x:c>
      <x:c r="E11" s="21" t="str">
        <x:v>None</x:v>
      </x:c>
      <x:c r="F11" s="21" t="str">
        <x:v>Safe</x:v>
      </x:c>
    </x:row>
    <x:row r="12">
      <x:c r="A12" s="21" t="str">
        <x:v>2026 ADC statewide reconciliation</x:v>
      </x:c>
      <x:c r="B12" s="21" t="str">
        <x:v>17,180</x:v>
      </x:c>
      <x:c r="C12" s="21" t="str">
        <x:v>PASS</x:v>
      </x:c>
      <x:c r="D12" s="21" t="str">
        <x:v>LGA values reproduce declared total.</x:v>
      </x:c>
      <x:c r="E12" s="21" t="str">
        <x:v>None</x:v>
      </x:c>
      <x:c r="F12" s="21" t="str">
        <x:v>Safe</x:v>
      </x:c>
    </x:row>
    <x:row r="13">
      <x:c r="A13" s="21" t="str">
        <x:v>2026 accredited-voter reconciliation</x:v>
      </x:c>
      <x:c r="B13" s="21" t="str">
        <x:v>1,010,684</x:v>
      </x:c>
      <x:c r="C13" s="21" t="str">
        <x:v>PASS</x:v>
      </x:c>
      <x:c r="D13" s="21" t="str">
        <x:v>After documented Orolu correction, LGA sum matches state total.</x:v>
      </x:c>
      <x:c r="E13" s="21" t="str">
        <x:v>Keep audit note</x:v>
      </x:c>
      <x:c r="F13" s="21" t="str">
        <x:v>Safe with methodology</x:v>
      </x:c>
    </x:row>
    <x:row r="14">
      <x:c r="A14" s="21" t="str">
        <x:v>2026 valid-vote reconciliation</x:v>
      </x:c>
      <x:c r="B14" s="21" t="str">
        <x:v>985,079</x:v>
      </x:c>
      <x:c r="C14" s="21" t="str">
        <x:v>PASS</x:v>
      </x:c>
      <x:c r="D14" s="21" t="str">
        <x:v>After documented Isokan correction, LGA sum matches state total.</x:v>
      </x:c>
      <x:c r="E14" s="21" t="str">
        <x:v>Keep audit note</x:v>
      </x:c>
      <x:c r="F14" s="21" t="str">
        <x:v>Safe with methodology</x:v>
      </x:c>
    </x:row>
    <x:row r="15">
      <x:c r="A15" s="21" t="str">
        <x:v>2026 votes-cast reconciliation</x:v>
      </x:c>
      <x:c r="B15" s="21" t="str">
        <x:v>1,005,800</x:v>
      </x:c>
      <x:c r="C15" s="21" t="str">
        <x:v>PASS</x:v>
      </x:c>
      <x:c r="D15" s="21" t="str">
        <x:v>LGA sum matches state total.</x:v>
      </x:c>
      <x:c r="E15" s="21" t="str">
        <x:v>None</x:v>
      </x:c>
      <x:c r="F15" s="21" t="str">
        <x:v>Safe</x:v>
      </x:c>
    </x:row>
    <x:row r="16">
      <x:c r="A16" s="21" t="str">
        <x:v>2026 rejected-vote reconciliation</x:v>
      </x:c>
      <x:c r="B16" s="21" t="str">
        <x:v>20,721</x:v>
      </x:c>
      <x:c r="C16" s="21" t="str">
        <x:v>PASS</x:v>
      </x:c>
      <x:c r="D16" s="21" t="str">
        <x:v>Derived LGA total matches state declaration.</x:v>
      </x:c>
      <x:c r="E16" s="21" t="str">
        <x:v>None</x:v>
      </x:c>
      <x:c r="F16" s="21" t="str">
        <x:v>Safe</x:v>
      </x:c>
    </x:row>
    <x:row r="17">
      <x:c r="A17" s="21" t="str">
        <x:v>Atakunmosa East accredited voters</x:v>
      </x:c>
      <x:c r="B17" s="21" t="str">
        <x:v>19,253 vs 19,257</x:v>
      </x:c>
      <x:c r="C17" s="21" t="str">
        <x:v>OPEN</x:v>
      </x:c>
      <x:c r="D17" s="21" t="str">
        <x:v>Material source conflict remains at one LGA cell.</x:v>
      </x:c>
      <x:c r="E17" s="21" t="str">
        <x:v>Verify EC8C/result sheet</x:v>
      </x:c>
      <x:c r="F17" s="21" t="str">
        <x:v>Do not make LGA accreditation claims yet</x:v>
      </x:c>
    </x:row>
    <x:row r="18">
      <x:c r="A18" s="21" t="str">
        <x:v>2026 registered-voter denominator</x:v>
      </x:c>
      <x:c r="B18" s="21" t="str">
        <x:v>2,339,544 vs 2,339,233</x:v>
      </x:c>
      <x:c r="C18" s="21" t="str">
        <x:v>OPEN</x:v>
      </x:c>
      <x:c r="D18" s="21" t="str">
        <x:v>Final collation and pre-election register reports conflict.</x:v>
      </x:c>
      <x:c r="E18" s="21" t="str">
        <x:v>Resolve source version before turnout-by-LGA work</x:v>
      </x:c>
      <x:c r="F18" s="21" t="str">
        <x:v>Do not publish turnout based on this denominator yet</x:v>
      </x:c>
    </x:row>
    <x:row r="19">
      <x:c r="A19" s="21" t="str">
        <x:v>2026 IReV primary-sheet completion</x:v>
      </x:c>
      <x:c r="B19" s="21" t="str">
        <x:v>Not yet complete</x:v>
      </x:c>
      <x:c r="C19" s="21" t="str">
        <x:v>OPEN</x:v>
      </x:c>
      <x:c r="D19" s="21" t="str">
        <x:v>Not every expected polling-unit sheet is available for direct audit.</x:v>
      </x:c>
      <x:c r="E19" s="21" t="str">
        <x:v>Continue monitoring</x:v>
      </x:c>
      <x:c r="F19" s="21" t="str">
        <x:v>Candidate/LGA analysis okay; primary-sheet audit not complete</x:v>
      </x:c>
    </x:row>
  </x:sheetData>
  <x:mergeCells>
    <x:mergeCell ref="A1:F1"/>
    <x:mergeCell ref="A2:F3"/>
  </x:mergeCells>
  <x:conditionalFormatting sqref="C6:C19">
    <x:cfRule type="expression" dxfId="3" priority="1">
      <x:formula>C6="PASS"</x:formula>
    </x:cfRule>
    <x:cfRule type="expression" dxfId="4" priority="2">
      <x:formula>C6="OPEN"</x:formula>
    </x:cfRule>
  </x:conditionalFormatting>
  <x:pageMargins left="0.7" right="0.7" top="0.75" bottom="0.75" header="0.3" footer="0.3"/>
</x:worksheet>
</file>